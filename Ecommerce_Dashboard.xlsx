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1b92ceb18e7cff0b/Desktop/E-Commerce sales Dashboard/"/>
    </mc:Choice>
  </mc:AlternateContent>
  <xr:revisionPtr revIDLastSave="7" documentId="8_{60C57737-E609-4B5E-B17D-1DA243F24A69}" xr6:coauthVersionLast="47" xr6:coauthVersionMax="47" xr10:uidLastSave="{B071ED78-E368-4DCF-9F9B-097997B97E49}"/>
  <bookViews>
    <workbookView xWindow="-108" yWindow="-108" windowWidth="23256" windowHeight="12456" activeTab="3" xr2:uid="{2186DEFE-D072-40E3-8850-3FD589C7A741}"/>
  </bookViews>
  <sheets>
    <sheet name="Ecommerce_Raw_Data" sheetId="1" r:id="rId1"/>
    <sheet name="Analysis" sheetId="2" r:id="rId2"/>
    <sheet name="Pivot Tables" sheetId="3" r:id="rId3"/>
    <sheet name="Dashboard" sheetId="4" r:id="rId4"/>
  </sheets>
  <definedNames>
    <definedName name="_xlchart.v1.0" hidden="1">'Pivot Tables'!$U$12:$U$16</definedName>
    <definedName name="_xlchart.v1.1" hidden="1">'Pivot Tables'!$V$12:$V$16</definedName>
    <definedName name="_xlchart.v1.2" hidden="1">'Pivot Tables'!$U$12:$U$16</definedName>
    <definedName name="_xlchart.v1.3" hidden="1">'Pivot Tables'!$V$12:$V$16</definedName>
    <definedName name="Slicer_Category">#N/A</definedName>
    <definedName name="Slicer_Channel">#N/A</definedName>
    <definedName name="Slicer_Order_month">#N/A</definedName>
    <definedName name="Slicer_OrderStatus">#N/A</definedName>
    <definedName name="Slicer_PaymentMode">#N/A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7" i="2" l="1"/>
  <c r="C15" i="2"/>
  <c r="B15" i="2"/>
  <c r="B11" i="2"/>
  <c r="B9" i="2"/>
  <c r="B3" i="2"/>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8" i="1"/>
  <c r="N39" i="1"/>
  <c r="N40" i="1"/>
  <c r="N41" i="1"/>
  <c r="N42" i="1"/>
  <c r="N43"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5" i="1"/>
  <c r="N326" i="1"/>
  <c r="N327" i="1"/>
  <c r="N328" i="1"/>
  <c r="N329" i="1"/>
  <c r="N330" i="1"/>
  <c r="N331" i="1"/>
  <c r="N332" i="1"/>
  <c r="N333" i="1"/>
  <c r="N334" i="1"/>
  <c r="N335" i="1"/>
  <c r="N336" i="1"/>
  <c r="N337" i="1"/>
  <c r="N338" i="1"/>
  <c r="N339"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6" i="1"/>
  <c r="N607" i="1"/>
  <c r="N608" i="1"/>
  <c r="N609" i="1"/>
  <c r="N610" i="1"/>
  <c r="N611" i="1"/>
  <c r="N612" i="1"/>
  <c r="N613" i="1"/>
  <c r="N614" i="1"/>
  <c r="N615"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5" i="1"/>
  <c r="N716" i="1"/>
  <c r="N717" i="1"/>
  <c r="N718" i="1"/>
  <c r="N719" i="1"/>
  <c r="N720"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50" i="1"/>
  <c r="N751" i="1"/>
  <c r="N752" i="1"/>
  <c r="N753" i="1"/>
  <c r="N754" i="1"/>
  <c r="N755" i="1"/>
  <c r="N756" i="1"/>
  <c r="N757" i="1"/>
  <c r="N758" i="1"/>
  <c r="N759" i="1"/>
  <c r="N760" i="1"/>
  <c r="N761" i="1"/>
  <c r="N762" i="1"/>
  <c r="N763" i="1"/>
  <c r="N765" i="1"/>
  <c r="N766" i="1"/>
  <c r="N767" i="1"/>
  <c r="N768" i="1"/>
  <c r="N769" i="1"/>
  <c r="N770" i="1"/>
  <c r="N771" i="1"/>
  <c r="N772" i="1"/>
  <c r="N773" i="1"/>
  <c r="N775" i="1"/>
  <c r="N776" i="1"/>
  <c r="N777" i="1"/>
  <c r="N778" i="1"/>
  <c r="N779"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1" i="1"/>
  <c r="N852" i="1"/>
  <c r="N853"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8" i="1"/>
  <c r="N899" i="1"/>
  <c r="N900" i="1"/>
  <c r="N901" i="1"/>
  <c r="N902" i="1"/>
  <c r="N903" i="1"/>
  <c r="N904" i="1"/>
  <c r="N905" i="1"/>
  <c r="N906" i="1"/>
  <c r="N907" i="1"/>
  <c r="N908" i="1"/>
  <c r="N909" i="1"/>
  <c r="N910" i="1"/>
  <c r="N911" i="1"/>
  <c r="N912" i="1"/>
  <c r="N913" i="1"/>
  <c r="N915" i="1"/>
  <c r="N916" i="1"/>
  <c r="N917" i="1"/>
  <c r="N918" i="1"/>
  <c r="N919" i="1"/>
  <c r="N920" i="1"/>
  <c r="N921" i="1"/>
  <c r="N922" i="1"/>
  <c r="N923" i="1"/>
  <c r="N924" i="1"/>
  <c r="N925" i="1"/>
  <c r="N926" i="1"/>
  <c r="N927" i="1"/>
  <c r="N928" i="1"/>
  <c r="N929" i="1"/>
  <c r="N930" i="1"/>
  <c r="N931" i="1"/>
  <c r="N932" i="1"/>
  <c r="N933" i="1"/>
  <c r="N934" i="1"/>
  <c r="N935" i="1"/>
  <c r="N936" i="1"/>
  <c r="N937"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4" i="1"/>
  <c r="N1055" i="1"/>
  <c r="N1056" i="1"/>
  <c r="N1057" i="1"/>
  <c r="N1058" i="1"/>
  <c r="N1059"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6" i="1"/>
  <c r="N1087" i="1"/>
  <c r="N1088" i="1"/>
  <c r="N1089" i="1"/>
  <c r="N1090" i="1"/>
  <c r="N1091" i="1"/>
  <c r="N1092" i="1"/>
  <c r="N1093" i="1"/>
  <c r="N1094" i="1"/>
  <c r="N1095" i="1"/>
  <c r="N1097" i="1"/>
  <c r="N1098" i="1"/>
  <c r="N1099" i="1"/>
  <c r="N1100" i="1"/>
  <c r="N11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M1096" i="1"/>
  <c r="N1096" i="1" s="1"/>
  <c r="M1085" i="1"/>
  <c r="N1085" i="1" s="1"/>
  <c r="M1060" i="1"/>
  <c r="N1060" i="1" s="1"/>
  <c r="M1053" i="1"/>
  <c r="N1053" i="1" s="1"/>
  <c r="M1016" i="1"/>
  <c r="N1016" i="1" s="1"/>
  <c r="M938" i="1"/>
  <c r="N938" i="1" s="1"/>
  <c r="M914" i="1"/>
  <c r="N914" i="1" s="1"/>
  <c r="M897" i="1"/>
  <c r="N897" i="1" s="1"/>
  <c r="M854" i="1"/>
  <c r="N854" i="1" s="1"/>
  <c r="M850" i="1"/>
  <c r="N850" i="1" s="1"/>
  <c r="M803" i="1"/>
  <c r="M800" i="1"/>
  <c r="M780" i="1"/>
  <c r="N780" i="1" s="1"/>
  <c r="M774" i="1"/>
  <c r="N774" i="1" s="1"/>
  <c r="M764" i="1"/>
  <c r="N764" i="1" s="1"/>
  <c r="M749" i="1"/>
  <c r="N749" i="1" s="1"/>
  <c r="M721" i="1"/>
  <c r="N721" i="1" s="1"/>
  <c r="M714" i="1"/>
  <c r="N714" i="1" s="1"/>
  <c r="M616" i="1"/>
  <c r="N616" i="1" s="1"/>
  <c r="M605" i="1"/>
  <c r="N605" i="1" s="1"/>
  <c r="M579" i="1"/>
  <c r="M553" i="1"/>
  <c r="N553" i="1" s="1"/>
  <c r="M494" i="1"/>
  <c r="N494" i="1" s="1"/>
  <c r="M461" i="1"/>
  <c r="N461" i="1" s="1"/>
  <c r="M408" i="1"/>
  <c r="N408" i="1" s="1"/>
  <c r="M407" i="1"/>
  <c r="N407" i="1" s="1"/>
  <c r="M406" i="1"/>
  <c r="N406" i="1" s="1"/>
  <c r="M386" i="1"/>
  <c r="M340" i="1"/>
  <c r="N340" i="1" s="1"/>
  <c r="M324" i="1"/>
  <c r="N324" i="1" s="1"/>
  <c r="M282" i="1"/>
  <c r="N282" i="1" s="1"/>
  <c r="M230" i="1"/>
  <c r="N230" i="1" s="1"/>
  <c r="M207" i="1"/>
  <c r="M172" i="1"/>
  <c r="N172" i="1" s="1"/>
  <c r="M110" i="1"/>
  <c r="M44" i="1"/>
  <c r="N44" i="1" s="1"/>
  <c r="M37" i="1"/>
  <c r="N37" i="1" s="1"/>
  <c r="M30" i="1"/>
  <c r="B13" i="2" s="1"/>
  <c r="O34" i="3"/>
  <c r="O27" i="3"/>
  <c r="O32" i="3"/>
  <c r="O29" i="3"/>
  <c r="B5" i="2" l="1"/>
  <c r="B7" i="2"/>
</calcChain>
</file>

<file path=xl/sharedStrings.xml><?xml version="1.0" encoding="utf-8"?>
<sst xmlns="http://schemas.openxmlformats.org/spreadsheetml/2006/main" count="7784" uniqueCount="1188">
  <si>
    <t>OrderID</t>
  </si>
  <si>
    <t>OrderDate</t>
  </si>
  <si>
    <t>Category</t>
  </si>
  <si>
    <t>Product</t>
  </si>
  <si>
    <t>State</t>
  </si>
  <si>
    <t>Quantity</t>
  </si>
  <si>
    <t>UnitPrice</t>
  </si>
  <si>
    <t>Discount%</t>
  </si>
  <si>
    <t>OrderStatus</t>
  </si>
  <si>
    <t>PaymentMode</t>
  </si>
  <si>
    <t>Channel</t>
  </si>
  <si>
    <t>OrderAmount</t>
  </si>
  <si>
    <t>OD20001</t>
  </si>
  <si>
    <t>Home</t>
  </si>
  <si>
    <t>Wall Clock</t>
  </si>
  <si>
    <t>West Bengal</t>
  </si>
  <si>
    <t>Delivered</t>
  </si>
  <si>
    <t>COD</t>
  </si>
  <si>
    <t>Website</t>
  </si>
  <si>
    <t>OD20002</t>
  </si>
  <si>
    <t>Fashion</t>
  </si>
  <si>
    <t>T-Shirt</t>
  </si>
  <si>
    <t>Pending</t>
  </si>
  <si>
    <t>Credit Card</t>
  </si>
  <si>
    <t>OD20003</t>
  </si>
  <si>
    <t>Books</t>
  </si>
  <si>
    <t>Notebook</t>
  </si>
  <si>
    <t>Tamil Nadu</t>
  </si>
  <si>
    <t>Returned</t>
  </si>
  <si>
    <t>Debit Card</t>
  </si>
  <si>
    <t>OD20004</t>
  </si>
  <si>
    <t>Novel</t>
  </si>
  <si>
    <t>Delhi</t>
  </si>
  <si>
    <t>Mobile App</t>
  </si>
  <si>
    <t>OD20005</t>
  </si>
  <si>
    <t>Electronics</t>
  </si>
  <si>
    <t>Phone Cover</t>
  </si>
  <si>
    <t>OD20006</t>
  </si>
  <si>
    <t>Beauty</t>
  </si>
  <si>
    <t>Hair Oil</t>
  </si>
  <si>
    <t>UPI</t>
  </si>
  <si>
    <t>OD20007</t>
  </si>
  <si>
    <t>Face Wash</t>
  </si>
  <si>
    <t>OD20008</t>
  </si>
  <si>
    <t>Rajasthan</t>
  </si>
  <si>
    <t>OD20009</t>
  </si>
  <si>
    <t>Comic</t>
  </si>
  <si>
    <t>Karnataka</t>
  </si>
  <si>
    <t>OD20010</t>
  </si>
  <si>
    <t>Wallet</t>
  </si>
  <si>
    <t>OD20011</t>
  </si>
  <si>
    <t>Sunscreen</t>
  </si>
  <si>
    <t>OD20012</t>
  </si>
  <si>
    <t>Maharashtra</t>
  </si>
  <si>
    <t>OD20013</t>
  </si>
  <si>
    <t>Cancelled</t>
  </si>
  <si>
    <t>OD20014</t>
  </si>
  <si>
    <t>Handbag</t>
  </si>
  <si>
    <t>OD20015</t>
  </si>
  <si>
    <t>Jeans</t>
  </si>
  <si>
    <t>OD20016</t>
  </si>
  <si>
    <t>Kurti</t>
  </si>
  <si>
    <t>OD20017</t>
  </si>
  <si>
    <t>Power Bank</t>
  </si>
  <si>
    <t>OD20018</t>
  </si>
  <si>
    <t>Bluetooth Speaker</t>
  </si>
  <si>
    <t>OD20019</t>
  </si>
  <si>
    <t>OD20020</t>
  </si>
  <si>
    <t>Earbuds</t>
  </si>
  <si>
    <t>OD20021</t>
  </si>
  <si>
    <t>Curtain</t>
  </si>
  <si>
    <t>OD20022</t>
  </si>
  <si>
    <t>OD20023</t>
  </si>
  <si>
    <t>OD20024</t>
  </si>
  <si>
    <t>Table Lamp</t>
  </si>
  <si>
    <t>OD20025</t>
  </si>
  <si>
    <t>Bedsheet</t>
  </si>
  <si>
    <t>OD20026</t>
  </si>
  <si>
    <t>Sneakers</t>
  </si>
  <si>
    <t>OD20027</t>
  </si>
  <si>
    <t>Gujarat</t>
  </si>
  <si>
    <t>OD20028</t>
  </si>
  <si>
    <t>OD20029</t>
  </si>
  <si>
    <t>OD20030</t>
  </si>
  <si>
    <t>OD20031</t>
  </si>
  <si>
    <t>OD20032</t>
  </si>
  <si>
    <t>OD20033</t>
  </si>
  <si>
    <t>Guide Book</t>
  </si>
  <si>
    <t>OD20034</t>
  </si>
  <si>
    <t>OD20035</t>
  </si>
  <si>
    <t>OD20036</t>
  </si>
  <si>
    <t>OD20037</t>
  </si>
  <si>
    <t>OD20038</t>
  </si>
  <si>
    <t>OD20039</t>
  </si>
  <si>
    <t>Diary</t>
  </si>
  <si>
    <t>OD20040</t>
  </si>
  <si>
    <t>OD20041</t>
  </si>
  <si>
    <t>Smartwatch</t>
  </si>
  <si>
    <t>OD20042</t>
  </si>
  <si>
    <t>OD20043</t>
  </si>
  <si>
    <t>Perfume</t>
  </si>
  <si>
    <t>OD20044</t>
  </si>
  <si>
    <t>OD20045</t>
  </si>
  <si>
    <t>OD20046</t>
  </si>
  <si>
    <t>OD20047</t>
  </si>
  <si>
    <t>OD20048</t>
  </si>
  <si>
    <t>OD20049</t>
  </si>
  <si>
    <t>OD20050</t>
  </si>
  <si>
    <t>Cushion</t>
  </si>
  <si>
    <t>OD20051</t>
  </si>
  <si>
    <t>OD20052</t>
  </si>
  <si>
    <t>OD20053</t>
  </si>
  <si>
    <t>OD20054</t>
  </si>
  <si>
    <t>OD20055</t>
  </si>
  <si>
    <t>OD20056</t>
  </si>
  <si>
    <t>OD20057</t>
  </si>
  <si>
    <t>OD20058</t>
  </si>
  <si>
    <t>OD20059</t>
  </si>
  <si>
    <t>OD20060</t>
  </si>
  <si>
    <t>OD20061</t>
  </si>
  <si>
    <t>OD20062</t>
  </si>
  <si>
    <t>OD20063</t>
  </si>
  <si>
    <t>OD20064</t>
  </si>
  <si>
    <t>OD20065</t>
  </si>
  <si>
    <t>OD20066</t>
  </si>
  <si>
    <t>OD20067</t>
  </si>
  <si>
    <t>OD20068</t>
  </si>
  <si>
    <t>OD20069</t>
  </si>
  <si>
    <t>OD20070</t>
  </si>
  <si>
    <t>OD20071</t>
  </si>
  <si>
    <t>OD20072</t>
  </si>
  <si>
    <t>OD20073</t>
  </si>
  <si>
    <t>OD20074</t>
  </si>
  <si>
    <t>OD20075</t>
  </si>
  <si>
    <t>OD20076</t>
  </si>
  <si>
    <t>OD20077</t>
  </si>
  <si>
    <t>OD20078</t>
  </si>
  <si>
    <t>OD20079</t>
  </si>
  <si>
    <t>OD20080</t>
  </si>
  <si>
    <t>OD20081</t>
  </si>
  <si>
    <t>OD20082</t>
  </si>
  <si>
    <t>OD20083</t>
  </si>
  <si>
    <t>OD20084</t>
  </si>
  <si>
    <t>OD20085</t>
  </si>
  <si>
    <t>OD20086</t>
  </si>
  <si>
    <t>OD20087</t>
  </si>
  <si>
    <t>OD20088</t>
  </si>
  <si>
    <t>OD20089</t>
  </si>
  <si>
    <t>OD20090</t>
  </si>
  <si>
    <t>OD20091</t>
  </si>
  <si>
    <t>OD20092</t>
  </si>
  <si>
    <t>OD20093</t>
  </si>
  <si>
    <t>OD20094</t>
  </si>
  <si>
    <t>OD20095</t>
  </si>
  <si>
    <t>OD20096</t>
  </si>
  <si>
    <t>OD20097</t>
  </si>
  <si>
    <t>OD20098</t>
  </si>
  <si>
    <t>OD20099</t>
  </si>
  <si>
    <t>OD20100</t>
  </si>
  <si>
    <t>OD20101</t>
  </si>
  <si>
    <t>OD20102</t>
  </si>
  <si>
    <t>OD20103</t>
  </si>
  <si>
    <t>OD20104</t>
  </si>
  <si>
    <t>OD20105</t>
  </si>
  <si>
    <t>Lipstick</t>
  </si>
  <si>
    <t>OD20106</t>
  </si>
  <si>
    <t>OD20107</t>
  </si>
  <si>
    <t>OD20108</t>
  </si>
  <si>
    <t>OD20109</t>
  </si>
  <si>
    <t>OD20110</t>
  </si>
  <si>
    <t>OD20111</t>
  </si>
  <si>
    <t>OD20112</t>
  </si>
  <si>
    <t>OD20113</t>
  </si>
  <si>
    <t>OD20114</t>
  </si>
  <si>
    <t>OD20115</t>
  </si>
  <si>
    <t>OD20116</t>
  </si>
  <si>
    <t>OD20117</t>
  </si>
  <si>
    <t>OD20118</t>
  </si>
  <si>
    <t>OD20119</t>
  </si>
  <si>
    <t>OD20120</t>
  </si>
  <si>
    <t>OD20121</t>
  </si>
  <si>
    <t>OD20122</t>
  </si>
  <si>
    <t>OD20123</t>
  </si>
  <si>
    <t>OD20124</t>
  </si>
  <si>
    <t>OD20125</t>
  </si>
  <si>
    <t>OD20126</t>
  </si>
  <si>
    <t>OD20127</t>
  </si>
  <si>
    <t>OD20128</t>
  </si>
  <si>
    <t>OD20129</t>
  </si>
  <si>
    <t>OD20130</t>
  </si>
  <si>
    <t>OD20131</t>
  </si>
  <si>
    <t>OD20132</t>
  </si>
  <si>
    <t>OD20133</t>
  </si>
  <si>
    <t>OD20134</t>
  </si>
  <si>
    <t>OD20135</t>
  </si>
  <si>
    <t>OD20136</t>
  </si>
  <si>
    <t>OD20137</t>
  </si>
  <si>
    <t>OD20138</t>
  </si>
  <si>
    <t>OD20139</t>
  </si>
  <si>
    <t>OD20140</t>
  </si>
  <si>
    <t>OD20141</t>
  </si>
  <si>
    <t>OD20142</t>
  </si>
  <si>
    <t>OD20143</t>
  </si>
  <si>
    <t>OD20144</t>
  </si>
  <si>
    <t>OD20145</t>
  </si>
  <si>
    <t>OD20146</t>
  </si>
  <si>
    <t>OD20147</t>
  </si>
  <si>
    <t>OD20148</t>
  </si>
  <si>
    <t>OD20149</t>
  </si>
  <si>
    <t>OD20150</t>
  </si>
  <si>
    <t>OD20151</t>
  </si>
  <si>
    <t>OD20152</t>
  </si>
  <si>
    <t>OD20153</t>
  </si>
  <si>
    <t>OD20154</t>
  </si>
  <si>
    <t>OD20155</t>
  </si>
  <si>
    <t>OD20156</t>
  </si>
  <si>
    <t>OD20157</t>
  </si>
  <si>
    <t>OD20158</t>
  </si>
  <si>
    <t>OD20159</t>
  </si>
  <si>
    <t>OD20160</t>
  </si>
  <si>
    <t>OD20161</t>
  </si>
  <si>
    <t>OD20162</t>
  </si>
  <si>
    <t>OD20163</t>
  </si>
  <si>
    <t>OD20164</t>
  </si>
  <si>
    <t>OD20165</t>
  </si>
  <si>
    <t>OD20166</t>
  </si>
  <si>
    <t>OD20167</t>
  </si>
  <si>
    <t>OD20168</t>
  </si>
  <si>
    <t>OD20169</t>
  </si>
  <si>
    <t>OD20170</t>
  </si>
  <si>
    <t>OD20171</t>
  </si>
  <si>
    <t>OD20172</t>
  </si>
  <si>
    <t>OD20173</t>
  </si>
  <si>
    <t>OD20174</t>
  </si>
  <si>
    <t>OD20175</t>
  </si>
  <si>
    <t>OD20176</t>
  </si>
  <si>
    <t>OD20177</t>
  </si>
  <si>
    <t>OD20178</t>
  </si>
  <si>
    <t>OD20179</t>
  </si>
  <si>
    <t>OD20180</t>
  </si>
  <si>
    <t>OD20181</t>
  </si>
  <si>
    <t>OD20182</t>
  </si>
  <si>
    <t>OD20183</t>
  </si>
  <si>
    <t>OD20184</t>
  </si>
  <si>
    <t>OD20185</t>
  </si>
  <si>
    <t>OD20186</t>
  </si>
  <si>
    <t>OD20187</t>
  </si>
  <si>
    <t>OD20188</t>
  </si>
  <si>
    <t>OD20189</t>
  </si>
  <si>
    <t>OD20190</t>
  </si>
  <si>
    <t>OD20191</t>
  </si>
  <si>
    <t>OD20192</t>
  </si>
  <si>
    <t>OD20193</t>
  </si>
  <si>
    <t>OD20194</t>
  </si>
  <si>
    <t>OD20195</t>
  </si>
  <si>
    <t>OD20196</t>
  </si>
  <si>
    <t>OD20197</t>
  </si>
  <si>
    <t>OD20198</t>
  </si>
  <si>
    <t>OD20199</t>
  </si>
  <si>
    <t>OD20200</t>
  </si>
  <si>
    <t>OD20201</t>
  </si>
  <si>
    <t>OD20202</t>
  </si>
  <si>
    <t>OD20203</t>
  </si>
  <si>
    <t>OD20204</t>
  </si>
  <si>
    <t>OD20205</t>
  </si>
  <si>
    <t>OD20206</t>
  </si>
  <si>
    <t>OD20207</t>
  </si>
  <si>
    <t>OD20208</t>
  </si>
  <si>
    <t>OD20209</t>
  </si>
  <si>
    <t>OD20210</t>
  </si>
  <si>
    <t>OD20211</t>
  </si>
  <si>
    <t>OD20212</t>
  </si>
  <si>
    <t>OD20213</t>
  </si>
  <si>
    <t>OD20214</t>
  </si>
  <si>
    <t>OD20215</t>
  </si>
  <si>
    <t>OD20216</t>
  </si>
  <si>
    <t>OD20217</t>
  </si>
  <si>
    <t>OD20218</t>
  </si>
  <si>
    <t>OD20219</t>
  </si>
  <si>
    <t>OD20220</t>
  </si>
  <si>
    <t>OD20221</t>
  </si>
  <si>
    <t>OD20222</t>
  </si>
  <si>
    <t>OD20223</t>
  </si>
  <si>
    <t>OD20224</t>
  </si>
  <si>
    <t>OD20225</t>
  </si>
  <si>
    <t>OD20226</t>
  </si>
  <si>
    <t>OD20227</t>
  </si>
  <si>
    <t>OD20228</t>
  </si>
  <si>
    <t>OD20229</t>
  </si>
  <si>
    <t>OD20230</t>
  </si>
  <si>
    <t>OD20231</t>
  </si>
  <si>
    <t>OD20232</t>
  </si>
  <si>
    <t>OD20233</t>
  </si>
  <si>
    <t>OD20234</t>
  </si>
  <si>
    <t>OD20235</t>
  </si>
  <si>
    <t>OD20236</t>
  </si>
  <si>
    <t>OD20237</t>
  </si>
  <si>
    <t>OD20238</t>
  </si>
  <si>
    <t>OD20239</t>
  </si>
  <si>
    <t>OD20240</t>
  </si>
  <si>
    <t>OD20241</t>
  </si>
  <si>
    <t>OD20242</t>
  </si>
  <si>
    <t>OD20243</t>
  </si>
  <si>
    <t>OD20244</t>
  </si>
  <si>
    <t>OD20245</t>
  </si>
  <si>
    <t>OD20246</t>
  </si>
  <si>
    <t>OD20247</t>
  </si>
  <si>
    <t>OD20248</t>
  </si>
  <si>
    <t>OD20249</t>
  </si>
  <si>
    <t>OD20250</t>
  </si>
  <si>
    <t>OD20251</t>
  </si>
  <si>
    <t>OD20252</t>
  </si>
  <si>
    <t>OD20253</t>
  </si>
  <si>
    <t>OD20254</t>
  </si>
  <si>
    <t>OD20255</t>
  </si>
  <si>
    <t>OD20256</t>
  </si>
  <si>
    <t>OD20257</t>
  </si>
  <si>
    <t>OD20258</t>
  </si>
  <si>
    <t>OD20259</t>
  </si>
  <si>
    <t>OD20260</t>
  </si>
  <si>
    <t>OD20261</t>
  </si>
  <si>
    <t>OD20262</t>
  </si>
  <si>
    <t>OD20263</t>
  </si>
  <si>
    <t>OD20264</t>
  </si>
  <si>
    <t>OD20265</t>
  </si>
  <si>
    <t>OD20266</t>
  </si>
  <si>
    <t>OD20267</t>
  </si>
  <si>
    <t>OD20268</t>
  </si>
  <si>
    <t>OD20269</t>
  </si>
  <si>
    <t>OD20270</t>
  </si>
  <si>
    <t>OD20271</t>
  </si>
  <si>
    <t>OD20272</t>
  </si>
  <si>
    <t>OD20273</t>
  </si>
  <si>
    <t>OD20274</t>
  </si>
  <si>
    <t>OD20275</t>
  </si>
  <si>
    <t>OD20276</t>
  </si>
  <si>
    <t>OD20277</t>
  </si>
  <si>
    <t>OD20278</t>
  </si>
  <si>
    <t>OD20279</t>
  </si>
  <si>
    <t>OD20280</t>
  </si>
  <si>
    <t>OD20281</t>
  </si>
  <si>
    <t>OD20282</t>
  </si>
  <si>
    <t>OD20283</t>
  </si>
  <si>
    <t>OD20284</t>
  </si>
  <si>
    <t>OD20285</t>
  </si>
  <si>
    <t>OD20286</t>
  </si>
  <si>
    <t>OD20287</t>
  </si>
  <si>
    <t>OD20288</t>
  </si>
  <si>
    <t>OD20289</t>
  </si>
  <si>
    <t>OD20290</t>
  </si>
  <si>
    <t>OD20291</t>
  </si>
  <si>
    <t>OD20292</t>
  </si>
  <si>
    <t>OD20293</t>
  </si>
  <si>
    <t>OD20294</t>
  </si>
  <si>
    <t>OD20295</t>
  </si>
  <si>
    <t>OD20296</t>
  </si>
  <si>
    <t>OD20297</t>
  </si>
  <si>
    <t>OD20298</t>
  </si>
  <si>
    <t>OD20299</t>
  </si>
  <si>
    <t>OD20300</t>
  </si>
  <si>
    <t>OD20301</t>
  </si>
  <si>
    <t>OD20302</t>
  </si>
  <si>
    <t>OD20303</t>
  </si>
  <si>
    <t>OD20304</t>
  </si>
  <si>
    <t>OD20305</t>
  </si>
  <si>
    <t>OD20306</t>
  </si>
  <si>
    <t>OD20307</t>
  </si>
  <si>
    <t>OD20308</t>
  </si>
  <si>
    <t>OD20309</t>
  </si>
  <si>
    <t>OD20310</t>
  </si>
  <si>
    <t>OD20311</t>
  </si>
  <si>
    <t>OD20312</t>
  </si>
  <si>
    <t>OD20313</t>
  </si>
  <si>
    <t>OD20314</t>
  </si>
  <si>
    <t>OD20315</t>
  </si>
  <si>
    <t>OD20316</t>
  </si>
  <si>
    <t>OD20317</t>
  </si>
  <si>
    <t>OD20318</t>
  </si>
  <si>
    <t>OD20319</t>
  </si>
  <si>
    <t>OD20320</t>
  </si>
  <si>
    <t>OD20321</t>
  </si>
  <si>
    <t>OD20322</t>
  </si>
  <si>
    <t>OD20323</t>
  </si>
  <si>
    <t>OD20324</t>
  </si>
  <si>
    <t>OD20325</t>
  </si>
  <si>
    <t>OD20326</t>
  </si>
  <si>
    <t>OD20327</t>
  </si>
  <si>
    <t>OD20328</t>
  </si>
  <si>
    <t>OD20329</t>
  </si>
  <si>
    <t>OD20330</t>
  </si>
  <si>
    <t>OD20331</t>
  </si>
  <si>
    <t>OD20332</t>
  </si>
  <si>
    <t>OD20333</t>
  </si>
  <si>
    <t>OD20334</t>
  </si>
  <si>
    <t>OD20335</t>
  </si>
  <si>
    <t>OD20336</t>
  </si>
  <si>
    <t>OD20337</t>
  </si>
  <si>
    <t>OD20338</t>
  </si>
  <si>
    <t>OD20339</t>
  </si>
  <si>
    <t>OD20340</t>
  </si>
  <si>
    <t>OD20341</t>
  </si>
  <si>
    <t>OD20342</t>
  </si>
  <si>
    <t>OD20343</t>
  </si>
  <si>
    <t>OD20344</t>
  </si>
  <si>
    <t>OD20345</t>
  </si>
  <si>
    <t>OD20346</t>
  </si>
  <si>
    <t>OD20347</t>
  </si>
  <si>
    <t>OD20348</t>
  </si>
  <si>
    <t>OD20349</t>
  </si>
  <si>
    <t>OD20350</t>
  </si>
  <si>
    <t>OD20351</t>
  </si>
  <si>
    <t>OD20352</t>
  </si>
  <si>
    <t>OD20353</t>
  </si>
  <si>
    <t>OD20354</t>
  </si>
  <si>
    <t>OD20355</t>
  </si>
  <si>
    <t>OD20356</t>
  </si>
  <si>
    <t>OD20357</t>
  </si>
  <si>
    <t>OD20358</t>
  </si>
  <si>
    <t>OD20359</t>
  </si>
  <si>
    <t>OD20360</t>
  </si>
  <si>
    <t>OD20361</t>
  </si>
  <si>
    <t>OD20362</t>
  </si>
  <si>
    <t>OD20363</t>
  </si>
  <si>
    <t>OD20364</t>
  </si>
  <si>
    <t>OD20365</t>
  </si>
  <si>
    <t>OD20366</t>
  </si>
  <si>
    <t>OD20367</t>
  </si>
  <si>
    <t>OD20368</t>
  </si>
  <si>
    <t>OD20369</t>
  </si>
  <si>
    <t>OD20370</t>
  </si>
  <si>
    <t>OD20371</t>
  </si>
  <si>
    <t>OD20372</t>
  </si>
  <si>
    <t>OD20373</t>
  </si>
  <si>
    <t>OD20374</t>
  </si>
  <si>
    <t>OD20375</t>
  </si>
  <si>
    <t>OD20376</t>
  </si>
  <si>
    <t>OD20377</t>
  </si>
  <si>
    <t>OD20378</t>
  </si>
  <si>
    <t>OD20379</t>
  </si>
  <si>
    <t>OD20380</t>
  </si>
  <si>
    <t>OD20381</t>
  </si>
  <si>
    <t>OD20382</t>
  </si>
  <si>
    <t>OD20383</t>
  </si>
  <si>
    <t>OD20384</t>
  </si>
  <si>
    <t>OD20385</t>
  </si>
  <si>
    <t>OD20386</t>
  </si>
  <si>
    <t>OD20387</t>
  </si>
  <si>
    <t>OD20388</t>
  </si>
  <si>
    <t>OD20389</t>
  </si>
  <si>
    <t>OD20390</t>
  </si>
  <si>
    <t>OD20391</t>
  </si>
  <si>
    <t>OD20392</t>
  </si>
  <si>
    <t>OD20393</t>
  </si>
  <si>
    <t>OD20394</t>
  </si>
  <si>
    <t>OD20395</t>
  </si>
  <si>
    <t>OD20396</t>
  </si>
  <si>
    <t>OD20397</t>
  </si>
  <si>
    <t>OD20398</t>
  </si>
  <si>
    <t>OD20399</t>
  </si>
  <si>
    <t>OD20400</t>
  </si>
  <si>
    <t>OD20401</t>
  </si>
  <si>
    <t>OD20402</t>
  </si>
  <si>
    <t>OD20403</t>
  </si>
  <si>
    <t>OD20404</t>
  </si>
  <si>
    <t>OD20405</t>
  </si>
  <si>
    <t>OD20406</t>
  </si>
  <si>
    <t>OD20407</t>
  </si>
  <si>
    <t>OD20408</t>
  </si>
  <si>
    <t>OD20409</t>
  </si>
  <si>
    <t>OD20410</t>
  </si>
  <si>
    <t>OD20411</t>
  </si>
  <si>
    <t>OD20412</t>
  </si>
  <si>
    <t>OD20413</t>
  </si>
  <si>
    <t>OD20414</t>
  </si>
  <si>
    <t>OD20415</t>
  </si>
  <si>
    <t>OD20416</t>
  </si>
  <si>
    <t>OD20417</t>
  </si>
  <si>
    <t>OD20418</t>
  </si>
  <si>
    <t>OD20419</t>
  </si>
  <si>
    <t>OD20420</t>
  </si>
  <si>
    <t>OD20421</t>
  </si>
  <si>
    <t>OD20422</t>
  </si>
  <si>
    <t>OD20423</t>
  </si>
  <si>
    <t>OD20424</t>
  </si>
  <si>
    <t>OD20425</t>
  </si>
  <si>
    <t>OD20426</t>
  </si>
  <si>
    <t>OD20427</t>
  </si>
  <si>
    <t>OD20428</t>
  </si>
  <si>
    <t>OD20429</t>
  </si>
  <si>
    <t>OD20430</t>
  </si>
  <si>
    <t>OD20431</t>
  </si>
  <si>
    <t>OD20432</t>
  </si>
  <si>
    <t>OD20433</t>
  </si>
  <si>
    <t>OD20434</t>
  </si>
  <si>
    <t>OD20435</t>
  </si>
  <si>
    <t>OD20436</t>
  </si>
  <si>
    <t>OD20437</t>
  </si>
  <si>
    <t>OD20438</t>
  </si>
  <si>
    <t>OD20439</t>
  </si>
  <si>
    <t>OD20440</t>
  </si>
  <si>
    <t>OD20441</t>
  </si>
  <si>
    <t>OD20442</t>
  </si>
  <si>
    <t>OD20443</t>
  </si>
  <si>
    <t>OD20444</t>
  </si>
  <si>
    <t>OD20445</t>
  </si>
  <si>
    <t>OD20446</t>
  </si>
  <si>
    <t>OD20447</t>
  </si>
  <si>
    <t>OD20448</t>
  </si>
  <si>
    <t>OD20449</t>
  </si>
  <si>
    <t>OD20450</t>
  </si>
  <si>
    <t>OD20451</t>
  </si>
  <si>
    <t>OD20452</t>
  </si>
  <si>
    <t>OD20453</t>
  </si>
  <si>
    <t>OD20454</t>
  </si>
  <si>
    <t>OD20455</t>
  </si>
  <si>
    <t>OD20456</t>
  </si>
  <si>
    <t>OD20457</t>
  </si>
  <si>
    <t>OD20458</t>
  </si>
  <si>
    <t>OD20459</t>
  </si>
  <si>
    <t>OD20460</t>
  </si>
  <si>
    <t>OD20461</t>
  </si>
  <si>
    <t>OD20462</t>
  </si>
  <si>
    <t>OD20463</t>
  </si>
  <si>
    <t>OD20464</t>
  </si>
  <si>
    <t>OD20465</t>
  </si>
  <si>
    <t>OD20466</t>
  </si>
  <si>
    <t>OD20467</t>
  </si>
  <si>
    <t>OD20468</t>
  </si>
  <si>
    <t>OD20469</t>
  </si>
  <si>
    <t>OD20470</t>
  </si>
  <si>
    <t>OD20471</t>
  </si>
  <si>
    <t>OD20472</t>
  </si>
  <si>
    <t>OD20473</t>
  </si>
  <si>
    <t>OD20474</t>
  </si>
  <si>
    <t>OD20475</t>
  </si>
  <si>
    <t>OD20476</t>
  </si>
  <si>
    <t>OD20477</t>
  </si>
  <si>
    <t>OD20478</t>
  </si>
  <si>
    <t>OD20479</t>
  </si>
  <si>
    <t>OD20480</t>
  </si>
  <si>
    <t>OD20481</t>
  </si>
  <si>
    <t>OD20482</t>
  </si>
  <si>
    <t>OD20483</t>
  </si>
  <si>
    <t>OD20484</t>
  </si>
  <si>
    <t>OD20485</t>
  </si>
  <si>
    <t>OD20486</t>
  </si>
  <si>
    <t>OD20487</t>
  </si>
  <si>
    <t>OD20488</t>
  </si>
  <si>
    <t>OD20489</t>
  </si>
  <si>
    <t>OD20490</t>
  </si>
  <si>
    <t>OD20491</t>
  </si>
  <si>
    <t>OD20492</t>
  </si>
  <si>
    <t>OD20493</t>
  </si>
  <si>
    <t>OD20494</t>
  </si>
  <si>
    <t>OD20495</t>
  </si>
  <si>
    <t>OD20496</t>
  </si>
  <si>
    <t>OD20497</t>
  </si>
  <si>
    <t>OD20498</t>
  </si>
  <si>
    <t>OD20499</t>
  </si>
  <si>
    <t>OD20500</t>
  </si>
  <si>
    <t>OD20501</t>
  </si>
  <si>
    <t>OD20502</t>
  </si>
  <si>
    <t>OD20503</t>
  </si>
  <si>
    <t>OD20504</t>
  </si>
  <si>
    <t>OD20505</t>
  </si>
  <si>
    <t>OD20506</t>
  </si>
  <si>
    <t>OD20507</t>
  </si>
  <si>
    <t>OD20508</t>
  </si>
  <si>
    <t>OD20509</t>
  </si>
  <si>
    <t>OD20510</t>
  </si>
  <si>
    <t>OD20511</t>
  </si>
  <si>
    <t>OD20512</t>
  </si>
  <si>
    <t>OD20513</t>
  </si>
  <si>
    <t>OD20514</t>
  </si>
  <si>
    <t>OD20515</t>
  </si>
  <si>
    <t>OD20516</t>
  </si>
  <si>
    <t>OD20517</t>
  </si>
  <si>
    <t>OD20518</t>
  </si>
  <si>
    <t>OD20519</t>
  </si>
  <si>
    <t>OD20520</t>
  </si>
  <si>
    <t>OD20521</t>
  </si>
  <si>
    <t>OD20522</t>
  </si>
  <si>
    <t>OD20523</t>
  </si>
  <si>
    <t>OD20524</t>
  </si>
  <si>
    <t>OD20525</t>
  </si>
  <si>
    <t>OD20526</t>
  </si>
  <si>
    <t>OD20527</t>
  </si>
  <si>
    <t>OD20528</t>
  </si>
  <si>
    <t>OD20529</t>
  </si>
  <si>
    <t>OD20530</t>
  </si>
  <si>
    <t>OD20531</t>
  </si>
  <si>
    <t>OD20532</t>
  </si>
  <si>
    <t>OD20533</t>
  </si>
  <si>
    <t>OD20534</t>
  </si>
  <si>
    <t>OD20535</t>
  </si>
  <si>
    <t>OD20536</t>
  </si>
  <si>
    <t>OD20537</t>
  </si>
  <si>
    <t>OD20538</t>
  </si>
  <si>
    <t>OD20539</t>
  </si>
  <si>
    <t>OD20540</t>
  </si>
  <si>
    <t>OD20541</t>
  </si>
  <si>
    <t>OD20542</t>
  </si>
  <si>
    <t>OD20543</t>
  </si>
  <si>
    <t>OD20544</t>
  </si>
  <si>
    <t>OD20545</t>
  </si>
  <si>
    <t>OD20546</t>
  </si>
  <si>
    <t>OD20547</t>
  </si>
  <si>
    <t>OD20548</t>
  </si>
  <si>
    <t>OD20549</t>
  </si>
  <si>
    <t>OD20550</t>
  </si>
  <si>
    <t>OD20551</t>
  </si>
  <si>
    <t>OD20552</t>
  </si>
  <si>
    <t>OD20553</t>
  </si>
  <si>
    <t>OD20554</t>
  </si>
  <si>
    <t>OD20555</t>
  </si>
  <si>
    <t>OD20556</t>
  </si>
  <si>
    <t>OD20557</t>
  </si>
  <si>
    <t>OD20558</t>
  </si>
  <si>
    <t>OD20559</t>
  </si>
  <si>
    <t>OD20560</t>
  </si>
  <si>
    <t>OD20561</t>
  </si>
  <si>
    <t>OD20562</t>
  </si>
  <si>
    <t>OD20563</t>
  </si>
  <si>
    <t>OD20564</t>
  </si>
  <si>
    <t>OD20565</t>
  </si>
  <si>
    <t>OD20566</t>
  </si>
  <si>
    <t>OD20567</t>
  </si>
  <si>
    <t>OD20568</t>
  </si>
  <si>
    <t>OD20569</t>
  </si>
  <si>
    <t>OD20570</t>
  </si>
  <si>
    <t>OD20571</t>
  </si>
  <si>
    <t>OD20572</t>
  </si>
  <si>
    <t>OD20573</t>
  </si>
  <si>
    <t>OD20574</t>
  </si>
  <si>
    <t>OD20575</t>
  </si>
  <si>
    <t>OD20576</t>
  </si>
  <si>
    <t>OD20577</t>
  </si>
  <si>
    <t>OD20578</t>
  </si>
  <si>
    <t>OD20579</t>
  </si>
  <si>
    <t>OD20580</t>
  </si>
  <si>
    <t>OD20581</t>
  </si>
  <si>
    <t>OD20582</t>
  </si>
  <si>
    <t>OD20583</t>
  </si>
  <si>
    <t>OD20584</t>
  </si>
  <si>
    <t>OD20585</t>
  </si>
  <si>
    <t>OD20586</t>
  </si>
  <si>
    <t>OD20587</t>
  </si>
  <si>
    <t>OD20588</t>
  </si>
  <si>
    <t>OD20589</t>
  </si>
  <si>
    <t>OD20590</t>
  </si>
  <si>
    <t>OD20591</t>
  </si>
  <si>
    <t>OD20592</t>
  </si>
  <si>
    <t>OD20593</t>
  </si>
  <si>
    <t>OD20594</t>
  </si>
  <si>
    <t>OD20595</t>
  </si>
  <si>
    <t>OD20596</t>
  </si>
  <si>
    <t>OD20597</t>
  </si>
  <si>
    <t>OD20598</t>
  </si>
  <si>
    <t>OD20599</t>
  </si>
  <si>
    <t>OD20600</t>
  </si>
  <si>
    <t>OD20601</t>
  </si>
  <si>
    <t>OD20602</t>
  </si>
  <si>
    <t>OD20603</t>
  </si>
  <si>
    <t>OD20604</t>
  </si>
  <si>
    <t>OD20605</t>
  </si>
  <si>
    <t>OD20606</t>
  </si>
  <si>
    <t>OD20607</t>
  </si>
  <si>
    <t>OD20608</t>
  </si>
  <si>
    <t>OD20609</t>
  </si>
  <si>
    <t>OD20610</t>
  </si>
  <si>
    <t>OD20611</t>
  </si>
  <si>
    <t>OD20612</t>
  </si>
  <si>
    <t>OD20613</t>
  </si>
  <si>
    <t>OD20614</t>
  </si>
  <si>
    <t>OD20615</t>
  </si>
  <si>
    <t>OD20616</t>
  </si>
  <si>
    <t>OD20617</t>
  </si>
  <si>
    <t>OD20618</t>
  </si>
  <si>
    <t>OD20619</t>
  </si>
  <si>
    <t>OD20620</t>
  </si>
  <si>
    <t>OD20621</t>
  </si>
  <si>
    <t>OD20622</t>
  </si>
  <si>
    <t>OD20623</t>
  </si>
  <si>
    <t>OD20624</t>
  </si>
  <si>
    <t>OD20625</t>
  </si>
  <si>
    <t>OD20626</t>
  </si>
  <si>
    <t>OD20627</t>
  </si>
  <si>
    <t>OD20628</t>
  </si>
  <si>
    <t>OD20629</t>
  </si>
  <si>
    <t>OD20630</t>
  </si>
  <si>
    <t>OD20631</t>
  </si>
  <si>
    <t>OD20632</t>
  </si>
  <si>
    <t>OD20633</t>
  </si>
  <si>
    <t>OD20634</t>
  </si>
  <si>
    <t>OD20635</t>
  </si>
  <si>
    <t>OD20636</t>
  </si>
  <si>
    <t>OD20637</t>
  </si>
  <si>
    <t>OD20638</t>
  </si>
  <si>
    <t>OD20639</t>
  </si>
  <si>
    <t>OD20640</t>
  </si>
  <si>
    <t>OD20641</t>
  </si>
  <si>
    <t>OD20642</t>
  </si>
  <si>
    <t>OD20643</t>
  </si>
  <si>
    <t>OD20644</t>
  </si>
  <si>
    <t>OD20645</t>
  </si>
  <si>
    <t>OD20646</t>
  </si>
  <si>
    <t>OD20647</t>
  </si>
  <si>
    <t>OD20648</t>
  </si>
  <si>
    <t>OD20649</t>
  </si>
  <si>
    <t>OD20650</t>
  </si>
  <si>
    <t>OD20651</t>
  </si>
  <si>
    <t>OD20652</t>
  </si>
  <si>
    <t>OD20653</t>
  </si>
  <si>
    <t>OD20654</t>
  </si>
  <si>
    <t>OD20655</t>
  </si>
  <si>
    <t>OD20656</t>
  </si>
  <si>
    <t>OD20657</t>
  </si>
  <si>
    <t>OD20658</t>
  </si>
  <si>
    <t>OD20659</t>
  </si>
  <si>
    <t>OD20660</t>
  </si>
  <si>
    <t>OD20661</t>
  </si>
  <si>
    <t>OD20662</t>
  </si>
  <si>
    <t>OD20663</t>
  </si>
  <si>
    <t>OD20664</t>
  </si>
  <si>
    <t>OD20665</t>
  </si>
  <si>
    <t>OD20666</t>
  </si>
  <si>
    <t>OD20667</t>
  </si>
  <si>
    <t>OD20668</t>
  </si>
  <si>
    <t>OD20669</t>
  </si>
  <si>
    <t>OD20670</t>
  </si>
  <si>
    <t>OD20671</t>
  </si>
  <si>
    <t>OD20672</t>
  </si>
  <si>
    <t>OD20673</t>
  </si>
  <si>
    <t>OD20674</t>
  </si>
  <si>
    <t>OD20675</t>
  </si>
  <si>
    <t>OD20676</t>
  </si>
  <si>
    <t>OD20677</t>
  </si>
  <si>
    <t>OD20678</t>
  </si>
  <si>
    <t>OD20679</t>
  </si>
  <si>
    <t>OD20680</t>
  </si>
  <si>
    <t>OD20681</t>
  </si>
  <si>
    <t>OD20682</t>
  </si>
  <si>
    <t>OD20683</t>
  </si>
  <si>
    <t>OD20684</t>
  </si>
  <si>
    <t>OD20685</t>
  </si>
  <si>
    <t>OD20686</t>
  </si>
  <si>
    <t>OD20687</t>
  </si>
  <si>
    <t>OD20688</t>
  </si>
  <si>
    <t>OD20689</t>
  </si>
  <si>
    <t>OD20690</t>
  </si>
  <si>
    <t>OD20691</t>
  </si>
  <si>
    <t>OD20692</t>
  </si>
  <si>
    <t>OD20693</t>
  </si>
  <si>
    <t>OD20694</t>
  </si>
  <si>
    <t>OD20695</t>
  </si>
  <si>
    <t>OD20696</t>
  </si>
  <si>
    <t>OD20697</t>
  </si>
  <si>
    <t>OD20698</t>
  </si>
  <si>
    <t>OD20699</t>
  </si>
  <si>
    <t>OD20700</t>
  </si>
  <si>
    <t>OD20701</t>
  </si>
  <si>
    <t>OD20702</t>
  </si>
  <si>
    <t>OD20703</t>
  </si>
  <si>
    <t>OD20704</t>
  </si>
  <si>
    <t>OD20705</t>
  </si>
  <si>
    <t>OD20706</t>
  </si>
  <si>
    <t>OD20707</t>
  </si>
  <si>
    <t>OD20708</t>
  </si>
  <si>
    <t>OD20709</t>
  </si>
  <si>
    <t>OD20710</t>
  </si>
  <si>
    <t>OD20711</t>
  </si>
  <si>
    <t>OD20712</t>
  </si>
  <si>
    <t>OD20713</t>
  </si>
  <si>
    <t>OD20714</t>
  </si>
  <si>
    <t>OD20715</t>
  </si>
  <si>
    <t>OD20716</t>
  </si>
  <si>
    <t>OD20717</t>
  </si>
  <si>
    <t>OD20718</t>
  </si>
  <si>
    <t>OD20719</t>
  </si>
  <si>
    <t>OD20720</t>
  </si>
  <si>
    <t>OD20721</t>
  </si>
  <si>
    <t>OD20722</t>
  </si>
  <si>
    <t>OD20723</t>
  </si>
  <si>
    <t>OD20724</t>
  </si>
  <si>
    <t>OD20725</t>
  </si>
  <si>
    <t>OD20726</t>
  </si>
  <si>
    <t>OD20727</t>
  </si>
  <si>
    <t>OD20728</t>
  </si>
  <si>
    <t>OD20729</t>
  </si>
  <si>
    <t>OD20730</t>
  </si>
  <si>
    <t>OD20731</t>
  </si>
  <si>
    <t>OD20732</t>
  </si>
  <si>
    <t>OD20733</t>
  </si>
  <si>
    <t>OD20734</t>
  </si>
  <si>
    <t>OD20735</t>
  </si>
  <si>
    <t>OD20736</t>
  </si>
  <si>
    <t>OD20737</t>
  </si>
  <si>
    <t>OD20738</t>
  </si>
  <si>
    <t>OD20739</t>
  </si>
  <si>
    <t>OD20740</t>
  </si>
  <si>
    <t>OD20741</t>
  </si>
  <si>
    <t>OD20742</t>
  </si>
  <si>
    <t>OD20743</t>
  </si>
  <si>
    <t>OD20744</t>
  </si>
  <si>
    <t>OD20745</t>
  </si>
  <si>
    <t>OD20746</t>
  </si>
  <si>
    <t>OD20747</t>
  </si>
  <si>
    <t>OD20748</t>
  </si>
  <si>
    <t>OD20749</t>
  </si>
  <si>
    <t>OD20750</t>
  </si>
  <si>
    <t>OD20751</t>
  </si>
  <si>
    <t>OD20752</t>
  </si>
  <si>
    <t>OD20753</t>
  </si>
  <si>
    <t>OD20754</t>
  </si>
  <si>
    <t>OD20755</t>
  </si>
  <si>
    <t>OD20756</t>
  </si>
  <si>
    <t>OD20757</t>
  </si>
  <si>
    <t>OD20758</t>
  </si>
  <si>
    <t>OD20759</t>
  </si>
  <si>
    <t>OD20760</t>
  </si>
  <si>
    <t>OD20761</t>
  </si>
  <si>
    <t>OD20762</t>
  </si>
  <si>
    <t>OD20763</t>
  </si>
  <si>
    <t>OD20764</t>
  </si>
  <si>
    <t>OD20765</t>
  </si>
  <si>
    <t>OD20766</t>
  </si>
  <si>
    <t>OD20767</t>
  </si>
  <si>
    <t>OD20768</t>
  </si>
  <si>
    <t>OD20769</t>
  </si>
  <si>
    <t>OD20770</t>
  </si>
  <si>
    <t>OD20771</t>
  </si>
  <si>
    <t>OD20772</t>
  </si>
  <si>
    <t>OD20773</t>
  </si>
  <si>
    <t>OD20774</t>
  </si>
  <si>
    <t>OD20775</t>
  </si>
  <si>
    <t>OD20776</t>
  </si>
  <si>
    <t>OD20777</t>
  </si>
  <si>
    <t>OD20778</t>
  </si>
  <si>
    <t>OD20779</t>
  </si>
  <si>
    <t>OD20780</t>
  </si>
  <si>
    <t>OD20781</t>
  </si>
  <si>
    <t>OD20782</t>
  </si>
  <si>
    <t>OD20783</t>
  </si>
  <si>
    <t>OD20784</t>
  </si>
  <si>
    <t>OD20785</t>
  </si>
  <si>
    <t>OD20786</t>
  </si>
  <si>
    <t>OD20787</t>
  </si>
  <si>
    <t>OD20788</t>
  </si>
  <si>
    <t>OD20789</t>
  </si>
  <si>
    <t>OD20790</t>
  </si>
  <si>
    <t>OD20791</t>
  </si>
  <si>
    <t>OD20792</t>
  </si>
  <si>
    <t>OD20793</t>
  </si>
  <si>
    <t>OD20794</t>
  </si>
  <si>
    <t>OD20795</t>
  </si>
  <si>
    <t>OD20796</t>
  </si>
  <si>
    <t>OD20797</t>
  </si>
  <si>
    <t>OD20798</t>
  </si>
  <si>
    <t>OD20799</t>
  </si>
  <si>
    <t>OD20800</t>
  </si>
  <si>
    <t>OD20801</t>
  </si>
  <si>
    <t>OD20802</t>
  </si>
  <si>
    <t>OD20803</t>
  </si>
  <si>
    <t>OD20804</t>
  </si>
  <si>
    <t>OD20805</t>
  </si>
  <si>
    <t>OD20806</t>
  </si>
  <si>
    <t>OD20807</t>
  </si>
  <si>
    <t>OD20808</t>
  </si>
  <si>
    <t>OD20809</t>
  </si>
  <si>
    <t>OD20810</t>
  </si>
  <si>
    <t>OD20811</t>
  </si>
  <si>
    <t>OD20812</t>
  </si>
  <si>
    <t>OD20813</t>
  </si>
  <si>
    <t>OD20814</t>
  </si>
  <si>
    <t>OD20815</t>
  </si>
  <si>
    <t>OD20816</t>
  </si>
  <si>
    <t>OD20817</t>
  </si>
  <si>
    <t>OD20818</t>
  </si>
  <si>
    <t>OD20819</t>
  </si>
  <si>
    <t>OD20820</t>
  </si>
  <si>
    <t>OD20821</t>
  </si>
  <si>
    <t>OD20822</t>
  </si>
  <si>
    <t>OD20823</t>
  </si>
  <si>
    <t>OD20824</t>
  </si>
  <si>
    <t>OD20825</t>
  </si>
  <si>
    <t>OD20826</t>
  </si>
  <si>
    <t>OD20827</t>
  </si>
  <si>
    <t>OD20828</t>
  </si>
  <si>
    <t>OD20829</t>
  </si>
  <si>
    <t>OD20830</t>
  </si>
  <si>
    <t>OD20831</t>
  </si>
  <si>
    <t>OD20832</t>
  </si>
  <si>
    <t>OD20833</t>
  </si>
  <si>
    <t>OD20834</t>
  </si>
  <si>
    <t>OD20835</t>
  </si>
  <si>
    <t>OD20836</t>
  </si>
  <si>
    <t>OD20837</t>
  </si>
  <si>
    <t>OD20838</t>
  </si>
  <si>
    <t>OD20839</t>
  </si>
  <si>
    <t>OD20840</t>
  </si>
  <si>
    <t>OD20841</t>
  </si>
  <si>
    <t>OD20842</t>
  </si>
  <si>
    <t>OD20843</t>
  </si>
  <si>
    <t>OD20844</t>
  </si>
  <si>
    <t>OD20845</t>
  </si>
  <si>
    <t>OD20846</t>
  </si>
  <si>
    <t>OD20847</t>
  </si>
  <si>
    <t>OD20848</t>
  </si>
  <si>
    <t>OD20849</t>
  </si>
  <si>
    <t>OD20850</t>
  </si>
  <si>
    <t>OD20851</t>
  </si>
  <si>
    <t>OD20852</t>
  </si>
  <si>
    <t>OD20853</t>
  </si>
  <si>
    <t>OD20854</t>
  </si>
  <si>
    <t>OD20855</t>
  </si>
  <si>
    <t>OD20856</t>
  </si>
  <si>
    <t>OD20857</t>
  </si>
  <si>
    <t>OD20858</t>
  </si>
  <si>
    <t>OD20859</t>
  </si>
  <si>
    <t>OD20860</t>
  </si>
  <si>
    <t>OD20861</t>
  </si>
  <si>
    <t>OD20862</t>
  </si>
  <si>
    <t>OD20863</t>
  </si>
  <si>
    <t>OD20864</t>
  </si>
  <si>
    <t>OD20865</t>
  </si>
  <si>
    <t>OD20866</t>
  </si>
  <si>
    <t>OD20867</t>
  </si>
  <si>
    <t>OD20868</t>
  </si>
  <si>
    <t>OD20869</t>
  </si>
  <si>
    <t>OD20870</t>
  </si>
  <si>
    <t>OD20871</t>
  </si>
  <si>
    <t>OD20872</t>
  </si>
  <si>
    <t>OD20873</t>
  </si>
  <si>
    <t>OD20874</t>
  </si>
  <si>
    <t>OD20875</t>
  </si>
  <si>
    <t>OD20876</t>
  </si>
  <si>
    <t>OD20877</t>
  </si>
  <si>
    <t>OD20878</t>
  </si>
  <si>
    <t>OD20879</t>
  </si>
  <si>
    <t>OD20880</t>
  </si>
  <si>
    <t>OD20881</t>
  </si>
  <si>
    <t>OD20882</t>
  </si>
  <si>
    <t>OD20883</t>
  </si>
  <si>
    <t>OD20884</t>
  </si>
  <si>
    <t>OD20885</t>
  </si>
  <si>
    <t>OD20886</t>
  </si>
  <si>
    <t>OD20887</t>
  </si>
  <si>
    <t>OD20888</t>
  </si>
  <si>
    <t>OD20889</t>
  </si>
  <si>
    <t>OD20890</t>
  </si>
  <si>
    <t>OD20891</t>
  </si>
  <si>
    <t>OD20892</t>
  </si>
  <si>
    <t>OD20893</t>
  </si>
  <si>
    <t>OD20894</t>
  </si>
  <si>
    <t>OD20895</t>
  </si>
  <si>
    <t>OD20896</t>
  </si>
  <si>
    <t>OD20897</t>
  </si>
  <si>
    <t>OD20898</t>
  </si>
  <si>
    <t>OD20899</t>
  </si>
  <si>
    <t>OD20900</t>
  </si>
  <si>
    <t>OD20901</t>
  </si>
  <si>
    <t>OD20902</t>
  </si>
  <si>
    <t>OD20903</t>
  </si>
  <si>
    <t>OD20904</t>
  </si>
  <si>
    <t>OD20905</t>
  </si>
  <si>
    <t>OD20906</t>
  </si>
  <si>
    <t>OD20907</t>
  </si>
  <si>
    <t>OD20908</t>
  </si>
  <si>
    <t>OD20909</t>
  </si>
  <si>
    <t>OD20910</t>
  </si>
  <si>
    <t>OD20911</t>
  </si>
  <si>
    <t>OD20912</t>
  </si>
  <si>
    <t>OD20913</t>
  </si>
  <si>
    <t>OD20914</t>
  </si>
  <si>
    <t>OD20915</t>
  </si>
  <si>
    <t>OD20916</t>
  </si>
  <si>
    <t>OD20917</t>
  </si>
  <si>
    <t>OD20918</t>
  </si>
  <si>
    <t>OD20919</t>
  </si>
  <si>
    <t>OD20920</t>
  </si>
  <si>
    <t>OD20921</t>
  </si>
  <si>
    <t>OD20922</t>
  </si>
  <si>
    <t>OD20923</t>
  </si>
  <si>
    <t>OD20924</t>
  </si>
  <si>
    <t>OD20925</t>
  </si>
  <si>
    <t>OD20926</t>
  </si>
  <si>
    <t>OD20927</t>
  </si>
  <si>
    <t>OD20928</t>
  </si>
  <si>
    <t>OD20929</t>
  </si>
  <si>
    <t>OD20930</t>
  </si>
  <si>
    <t>OD20931</t>
  </si>
  <si>
    <t>OD20932</t>
  </si>
  <si>
    <t>OD20933</t>
  </si>
  <si>
    <t>OD20934</t>
  </si>
  <si>
    <t>OD20935</t>
  </si>
  <si>
    <t>OD20936</t>
  </si>
  <si>
    <t>OD20937</t>
  </si>
  <si>
    <t>OD20938</t>
  </si>
  <si>
    <t>OD20939</t>
  </si>
  <si>
    <t>OD20940</t>
  </si>
  <si>
    <t>OD20941</t>
  </si>
  <si>
    <t>OD20942</t>
  </si>
  <si>
    <t>OD20943</t>
  </si>
  <si>
    <t>OD20944</t>
  </si>
  <si>
    <t>OD20945</t>
  </si>
  <si>
    <t>OD20946</t>
  </si>
  <si>
    <t>OD20947</t>
  </si>
  <si>
    <t>OD20948</t>
  </si>
  <si>
    <t>OD20949</t>
  </si>
  <si>
    <t>OD20950</t>
  </si>
  <si>
    <t>OD20951</t>
  </si>
  <si>
    <t>OD20952</t>
  </si>
  <si>
    <t>OD20953</t>
  </si>
  <si>
    <t>OD20954</t>
  </si>
  <si>
    <t>OD20955</t>
  </si>
  <si>
    <t>OD20956</t>
  </si>
  <si>
    <t>OD20957</t>
  </si>
  <si>
    <t>OD20958</t>
  </si>
  <si>
    <t>OD20959</t>
  </si>
  <si>
    <t>OD20960</t>
  </si>
  <si>
    <t>OD20961</t>
  </si>
  <si>
    <t>OD20962</t>
  </si>
  <si>
    <t>OD20963</t>
  </si>
  <si>
    <t>OD20964</t>
  </si>
  <si>
    <t>OD20965</t>
  </si>
  <si>
    <t>OD20966</t>
  </si>
  <si>
    <t>OD20967</t>
  </si>
  <si>
    <t>OD20968</t>
  </si>
  <si>
    <t>OD20969</t>
  </si>
  <si>
    <t>OD20970</t>
  </si>
  <si>
    <t>OD20971</t>
  </si>
  <si>
    <t>OD20972</t>
  </si>
  <si>
    <t>OD20973</t>
  </si>
  <si>
    <t>OD20974</t>
  </si>
  <si>
    <t>OD20975</t>
  </si>
  <si>
    <t>OD20976</t>
  </si>
  <si>
    <t>OD20977</t>
  </si>
  <si>
    <t>OD20978</t>
  </si>
  <si>
    <t>OD20979</t>
  </si>
  <si>
    <t>OD20980</t>
  </si>
  <si>
    <t>OD20981</t>
  </si>
  <si>
    <t>OD20982</t>
  </si>
  <si>
    <t>OD20983</t>
  </si>
  <si>
    <t>OD20984</t>
  </si>
  <si>
    <t>OD20985</t>
  </si>
  <si>
    <t>OD20986</t>
  </si>
  <si>
    <t>OD20987</t>
  </si>
  <si>
    <t>OD20988</t>
  </si>
  <si>
    <t>OD20989</t>
  </si>
  <si>
    <t>OD20990</t>
  </si>
  <si>
    <t>OD20991</t>
  </si>
  <si>
    <t>OD20992</t>
  </si>
  <si>
    <t>OD20993</t>
  </si>
  <si>
    <t>OD20994</t>
  </si>
  <si>
    <t>OD20995</t>
  </si>
  <si>
    <t>OD20996</t>
  </si>
  <si>
    <t>OD20997</t>
  </si>
  <si>
    <t>OD20998</t>
  </si>
  <si>
    <t>OD20999</t>
  </si>
  <si>
    <t>OD21000</t>
  </si>
  <si>
    <t>OD21001</t>
  </si>
  <si>
    <t>OD21002</t>
  </si>
  <si>
    <t>OD21003</t>
  </si>
  <si>
    <t>OD21004</t>
  </si>
  <si>
    <t>OD21005</t>
  </si>
  <si>
    <t>OD21006</t>
  </si>
  <si>
    <t>OD21007</t>
  </si>
  <si>
    <t>OD21008</t>
  </si>
  <si>
    <t>OD21009</t>
  </si>
  <si>
    <t>OD21010</t>
  </si>
  <si>
    <t>OD21011</t>
  </si>
  <si>
    <t>OD21012</t>
  </si>
  <si>
    <t>OD21013</t>
  </si>
  <si>
    <t>OD21014</t>
  </si>
  <si>
    <t>OD21015</t>
  </si>
  <si>
    <t>OD21016</t>
  </si>
  <si>
    <t>OD21017</t>
  </si>
  <si>
    <t>OD21018</t>
  </si>
  <si>
    <t>OD21019</t>
  </si>
  <si>
    <t>OD21020</t>
  </si>
  <si>
    <t>OD21021</t>
  </si>
  <si>
    <t>OD21022</t>
  </si>
  <si>
    <t>OD21023</t>
  </si>
  <si>
    <t>OD21024</t>
  </si>
  <si>
    <t>OD21025</t>
  </si>
  <si>
    <t>OD21026</t>
  </si>
  <si>
    <t>OD21027</t>
  </si>
  <si>
    <t>OD21028</t>
  </si>
  <si>
    <t>OD21029</t>
  </si>
  <si>
    <t>OD21030</t>
  </si>
  <si>
    <t>OD21031</t>
  </si>
  <si>
    <t>OD21032</t>
  </si>
  <si>
    <t>OD21033</t>
  </si>
  <si>
    <t>OD21034</t>
  </si>
  <si>
    <t>OD21035</t>
  </si>
  <si>
    <t>OD21036</t>
  </si>
  <si>
    <t>OD21037</t>
  </si>
  <si>
    <t>OD21038</t>
  </si>
  <si>
    <t>OD21039</t>
  </si>
  <si>
    <t>OD21040</t>
  </si>
  <si>
    <t>OD21041</t>
  </si>
  <si>
    <t>OD21042</t>
  </si>
  <si>
    <t>OD21043</t>
  </si>
  <si>
    <t>OD21044</t>
  </si>
  <si>
    <t>OD21045</t>
  </si>
  <si>
    <t>OD21046</t>
  </si>
  <si>
    <t>OD21047</t>
  </si>
  <si>
    <t>OD21048</t>
  </si>
  <si>
    <t>OD21049</t>
  </si>
  <si>
    <t>OD21050</t>
  </si>
  <si>
    <t>OD21051</t>
  </si>
  <si>
    <t>OD21052</t>
  </si>
  <si>
    <t>OD21053</t>
  </si>
  <si>
    <t>OD21054</t>
  </si>
  <si>
    <t>OD21055</t>
  </si>
  <si>
    <t>OD21056</t>
  </si>
  <si>
    <t>OD21057</t>
  </si>
  <si>
    <t>OD21058</t>
  </si>
  <si>
    <t>OD21059</t>
  </si>
  <si>
    <t>OD21060</t>
  </si>
  <si>
    <t>OD21061</t>
  </si>
  <si>
    <t>OD21062</t>
  </si>
  <si>
    <t>OD21063</t>
  </si>
  <si>
    <t>OD21064</t>
  </si>
  <si>
    <t>OD21065</t>
  </si>
  <si>
    <t>OD21066</t>
  </si>
  <si>
    <t>OD21067</t>
  </si>
  <si>
    <t>OD21068</t>
  </si>
  <si>
    <t>OD21069</t>
  </si>
  <si>
    <t>OD21070</t>
  </si>
  <si>
    <t>OD21071</t>
  </si>
  <si>
    <t>OD21072</t>
  </si>
  <si>
    <t>OD21073</t>
  </si>
  <si>
    <t>OD21074</t>
  </si>
  <si>
    <t>OD21075</t>
  </si>
  <si>
    <t>OD21076</t>
  </si>
  <si>
    <t>OD21077</t>
  </si>
  <si>
    <t>OD21078</t>
  </si>
  <si>
    <t>OD21079</t>
  </si>
  <si>
    <t>OD21080</t>
  </si>
  <si>
    <t>OD21081</t>
  </si>
  <si>
    <t>OD21082</t>
  </si>
  <si>
    <t>OD21083</t>
  </si>
  <si>
    <t>OD21084</t>
  </si>
  <si>
    <t>OD21085</t>
  </si>
  <si>
    <t>OD21086</t>
  </si>
  <si>
    <t>OD21087</t>
  </si>
  <si>
    <t>OD21088</t>
  </si>
  <si>
    <t>OD21089</t>
  </si>
  <si>
    <t>OD21090</t>
  </si>
  <si>
    <t>OD21091</t>
  </si>
  <si>
    <t>OD21092</t>
  </si>
  <si>
    <t>OD21093</t>
  </si>
  <si>
    <t>OD21094</t>
  </si>
  <si>
    <t>OD21095</t>
  </si>
  <si>
    <t>OD21096</t>
  </si>
  <si>
    <t>OD21097</t>
  </si>
  <si>
    <t>OD21098</t>
  </si>
  <si>
    <t>OD21099</t>
  </si>
  <si>
    <t>OD21100</t>
  </si>
  <si>
    <t>Up</t>
  </si>
  <si>
    <t>Order_month</t>
  </si>
  <si>
    <t>Sales bucket</t>
  </si>
  <si>
    <t>Total Orders</t>
  </si>
  <si>
    <t>Total Revenue</t>
  </si>
  <si>
    <t>Average Order Value</t>
  </si>
  <si>
    <t>Orders Cancelled</t>
  </si>
  <si>
    <t>App vs Website orders</t>
  </si>
  <si>
    <t>Revenue from Electronics</t>
  </si>
  <si>
    <t>OrdersDelivered</t>
  </si>
  <si>
    <t>Revenue from UPI</t>
  </si>
  <si>
    <t>Category-wise Revenue</t>
  </si>
  <si>
    <t>Row Labels</t>
  </si>
  <si>
    <t>Grand Total</t>
  </si>
  <si>
    <t>Sum of OrderAmount</t>
  </si>
  <si>
    <t>State wise Revenue</t>
  </si>
  <si>
    <t>Month-wise Revenue</t>
  </si>
  <si>
    <t>June</t>
  </si>
  <si>
    <t>Order Status</t>
  </si>
  <si>
    <t>Count of OrderID</t>
  </si>
  <si>
    <t>Channel Split</t>
  </si>
  <si>
    <t>Payment Mode</t>
  </si>
  <si>
    <t>Classification on basis of Sales Buckets</t>
  </si>
  <si>
    <t>High</t>
  </si>
  <si>
    <t>Low</t>
  </si>
  <si>
    <t>Medium</t>
  </si>
  <si>
    <t>Average of OrderAmount</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</si>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</sst>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1" applyNumberFormat="1" applyFont="1"/>
    <xf numFmtId="10" fontId="0" fillId="0" borderId="0" xfId="1" applyNumberFormat="1" applyFont="1"/>
    <xf numFmtId="0" fontId="0" fillId="33" borderId="0" xfId="0" applyFill="1"/>
    <xf numFmtId="0" fontId="16" fillId="33" borderId="0" xfId="0" applyFont="1" applyFill="1"/>
    <xf numFmtId="0" fontId="18" fillId="0" borderId="0" xfId="0" applyFont="1"/>
    <xf numFmtId="0" fontId="0" fillId="0" borderId="0" xfId="0" pivotButton="1"/>
    <xf numFmtId="0" fontId="0" fillId="0" borderId="0" xfId="0" applyAlignment="1">
      <alignment horizontal="left"/>
    </xf>
    <xf numFmtId="0" fontId="0" fillId="34" borderId="0" xfId="0" applyFill="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
    <dxf>
      <numFmt numFmtId="0" formatCode="General"/>
    </dxf>
    <dxf>
      <numFmt numFmtId="14" formatCode="0.0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 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Tables'!$C$4</c:f>
              <c:strCache>
                <c:ptCount val="1"/>
                <c:pt idx="0">
                  <c:v>Total</c:v>
                </c:pt>
              </c:strCache>
            </c:strRef>
          </c:tx>
          <c:spPr>
            <a:solidFill>
              <a:schemeClr val="accent1"/>
            </a:solidFill>
            <a:ln>
              <a:noFill/>
            </a:ln>
            <a:effectLst/>
          </c:spPr>
          <c:invertIfNegative val="0"/>
          <c:cat>
            <c:strRef>
              <c:f>'Pivot Tables'!$B$5:$B$10</c:f>
              <c:strCache>
                <c:ptCount val="5"/>
                <c:pt idx="0">
                  <c:v>Beauty</c:v>
                </c:pt>
                <c:pt idx="1">
                  <c:v>Books</c:v>
                </c:pt>
                <c:pt idx="2">
                  <c:v>Electronics</c:v>
                </c:pt>
                <c:pt idx="3">
                  <c:v>Fashion</c:v>
                </c:pt>
                <c:pt idx="4">
                  <c:v>Home</c:v>
                </c:pt>
              </c:strCache>
            </c:strRef>
          </c:cat>
          <c:val>
            <c:numRef>
              <c:f>'Pivot Tables'!$C$5:$C$10</c:f>
              <c:numCache>
                <c:formatCode>General</c:formatCode>
                <c:ptCount val="5"/>
                <c:pt idx="0">
                  <c:v>10259.77</c:v>
                </c:pt>
                <c:pt idx="1">
                  <c:v>94279.47</c:v>
                </c:pt>
                <c:pt idx="2">
                  <c:v>58731.330000000009</c:v>
                </c:pt>
                <c:pt idx="3">
                  <c:v>78864.049999999988</c:v>
                </c:pt>
                <c:pt idx="4">
                  <c:v>9068.58</c:v>
                </c:pt>
              </c:numCache>
            </c:numRef>
          </c:val>
          <c:extLst>
            <c:ext xmlns:c16="http://schemas.microsoft.com/office/drawing/2014/chart" uri="{C3380CC4-5D6E-409C-BE32-E72D297353CC}">
              <c16:uniqueId val="{00000000-C597-4EC8-8FE0-5A992F1EBA96}"/>
            </c:ext>
          </c:extLst>
        </c:ser>
        <c:dLbls>
          <c:showLegendKey val="0"/>
          <c:showVal val="0"/>
          <c:showCatName val="0"/>
          <c:showSerName val="0"/>
          <c:showPercent val="0"/>
          <c:showBubbleSize val="0"/>
        </c:dLbls>
        <c:gapWidth val="219"/>
        <c:overlap val="-27"/>
        <c:axId val="101917871"/>
        <c:axId val="101923151"/>
      </c:barChart>
      <c:catAx>
        <c:axId val="10191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23151"/>
        <c:crosses val="autoZero"/>
        <c:auto val="1"/>
        <c:lblAlgn val="ctr"/>
        <c:lblOffset val="100"/>
        <c:noMultiLvlLbl val="0"/>
      </c:catAx>
      <c:valAx>
        <c:axId val="101923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1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 Tables!PivotTable2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Tables'!$F$4</c:f>
              <c:strCache>
                <c:ptCount val="1"/>
                <c:pt idx="0">
                  <c:v>Total</c:v>
                </c:pt>
              </c:strCache>
            </c:strRef>
          </c:tx>
          <c:spPr>
            <a:solidFill>
              <a:schemeClr val="accent1"/>
            </a:solidFill>
            <a:ln>
              <a:noFill/>
            </a:ln>
            <a:effectLst/>
          </c:spPr>
          <c:invertIfNegative val="0"/>
          <c:cat>
            <c:strRef>
              <c:f>'Pivot Tables'!$E$5:$E$10</c:f>
              <c:strCache>
                <c:ptCount val="5"/>
                <c:pt idx="0">
                  <c:v>Delhi</c:v>
                </c:pt>
                <c:pt idx="1">
                  <c:v>Karnataka</c:v>
                </c:pt>
                <c:pt idx="2">
                  <c:v>Maharashtra</c:v>
                </c:pt>
                <c:pt idx="3">
                  <c:v>Tamil Nadu</c:v>
                </c:pt>
                <c:pt idx="4">
                  <c:v>West Bengal</c:v>
                </c:pt>
              </c:strCache>
            </c:strRef>
          </c:cat>
          <c:val>
            <c:numRef>
              <c:f>'Pivot Tables'!$F$5:$F$10</c:f>
              <c:numCache>
                <c:formatCode>General</c:formatCode>
                <c:ptCount val="5"/>
                <c:pt idx="0">
                  <c:v>16235.61</c:v>
                </c:pt>
                <c:pt idx="1">
                  <c:v>58045.680000000008</c:v>
                </c:pt>
                <c:pt idx="2">
                  <c:v>29316.54</c:v>
                </c:pt>
                <c:pt idx="3">
                  <c:v>41974.680000000008</c:v>
                </c:pt>
                <c:pt idx="4">
                  <c:v>76058.53</c:v>
                </c:pt>
              </c:numCache>
            </c:numRef>
          </c:val>
          <c:extLst>
            <c:ext xmlns:c16="http://schemas.microsoft.com/office/drawing/2014/chart" uri="{C3380CC4-5D6E-409C-BE32-E72D297353CC}">
              <c16:uniqueId val="{00000000-2DC4-4B1D-9377-A47C92D18447}"/>
            </c:ext>
          </c:extLst>
        </c:ser>
        <c:dLbls>
          <c:showLegendKey val="0"/>
          <c:showVal val="0"/>
          <c:showCatName val="0"/>
          <c:showSerName val="0"/>
          <c:showPercent val="0"/>
          <c:showBubbleSize val="0"/>
        </c:dLbls>
        <c:gapWidth val="182"/>
        <c:axId val="101934671"/>
        <c:axId val="101918831"/>
      </c:barChart>
      <c:catAx>
        <c:axId val="101934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18831"/>
        <c:crosses val="autoZero"/>
        <c:auto val="1"/>
        <c:lblAlgn val="ctr"/>
        <c:lblOffset val="100"/>
        <c:noMultiLvlLbl val="0"/>
      </c:catAx>
      <c:valAx>
        <c:axId val="101918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3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 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Tables'!$I$4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Tables'!$H$5:$H$6</c:f>
              <c:strCache>
                <c:ptCount val="1"/>
                <c:pt idx="0">
                  <c:v>June</c:v>
                </c:pt>
              </c:strCache>
            </c:strRef>
          </c:cat>
          <c:val>
            <c:numRef>
              <c:f>'Pivot Tables'!$I$5:$I$6</c:f>
              <c:numCache>
                <c:formatCode>General</c:formatCode>
                <c:ptCount val="1"/>
                <c:pt idx="0">
                  <c:v>251203.20000000004</c:v>
                </c:pt>
              </c:numCache>
            </c:numRef>
          </c:val>
          <c:smooth val="0"/>
          <c:extLst>
            <c:ext xmlns:c16="http://schemas.microsoft.com/office/drawing/2014/chart" uri="{C3380CC4-5D6E-409C-BE32-E72D297353CC}">
              <c16:uniqueId val="{00000000-A44E-47BF-95AE-F63738E5B381}"/>
            </c:ext>
          </c:extLst>
        </c:ser>
        <c:dLbls>
          <c:showLegendKey val="0"/>
          <c:showVal val="0"/>
          <c:showCatName val="0"/>
          <c:showSerName val="0"/>
          <c:showPercent val="0"/>
          <c:showBubbleSize val="0"/>
        </c:dLbls>
        <c:marker val="1"/>
        <c:smooth val="0"/>
        <c:axId val="101937551"/>
        <c:axId val="101938031"/>
      </c:lineChart>
      <c:catAx>
        <c:axId val="10193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38031"/>
        <c:crosses val="autoZero"/>
        <c:auto val="1"/>
        <c:lblAlgn val="ctr"/>
        <c:lblOffset val="100"/>
        <c:noMultiLvlLbl val="0"/>
      </c:catAx>
      <c:valAx>
        <c:axId val="101938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37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 Tables!PivotTable4</c:name>
    <c:fmtId val="11"/>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Tables'!$L$4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EE8-4CFE-A6C7-060E83E45DD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EE8-4CFE-A6C7-060E83E45DD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EE8-4CFE-A6C7-060E83E45DD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EE8-4CFE-A6C7-060E83E45DD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Tables'!$K$5:$K$9</c:f>
              <c:strCache>
                <c:ptCount val="4"/>
                <c:pt idx="0">
                  <c:v>Delivered</c:v>
                </c:pt>
                <c:pt idx="1">
                  <c:v>Pending</c:v>
                </c:pt>
                <c:pt idx="2">
                  <c:v>Cancelled</c:v>
                </c:pt>
                <c:pt idx="3">
                  <c:v>Returned</c:v>
                </c:pt>
              </c:strCache>
            </c:strRef>
          </c:cat>
          <c:val>
            <c:numRef>
              <c:f>'Pivot Tables'!$L$5:$L$9</c:f>
              <c:numCache>
                <c:formatCode>General</c:formatCode>
                <c:ptCount val="4"/>
                <c:pt idx="0">
                  <c:v>13</c:v>
                </c:pt>
                <c:pt idx="1">
                  <c:v>7</c:v>
                </c:pt>
                <c:pt idx="2">
                  <c:v>4</c:v>
                </c:pt>
                <c:pt idx="3">
                  <c:v>3</c:v>
                </c:pt>
              </c:numCache>
            </c:numRef>
          </c:val>
          <c:extLst>
            <c:ext xmlns:c16="http://schemas.microsoft.com/office/drawing/2014/chart" uri="{C3380CC4-5D6E-409C-BE32-E72D297353CC}">
              <c16:uniqueId val="{00000000-E412-4CC9-8DAF-57E2C665AB5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 Tables!PivotTable5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Tables'!$O$4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39D-4115-AE55-38BA50440E8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39D-4115-AE55-38BA50440E8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Tables'!$N$5:$N$7</c:f>
              <c:strCache>
                <c:ptCount val="2"/>
                <c:pt idx="0">
                  <c:v>Mobile App</c:v>
                </c:pt>
                <c:pt idx="1">
                  <c:v>Website</c:v>
                </c:pt>
              </c:strCache>
            </c:strRef>
          </c:cat>
          <c:val>
            <c:numRef>
              <c:f>'Pivot Tables'!$O$5:$O$7</c:f>
              <c:numCache>
                <c:formatCode>General</c:formatCode>
                <c:ptCount val="2"/>
                <c:pt idx="0">
                  <c:v>226080.38</c:v>
                </c:pt>
                <c:pt idx="1">
                  <c:v>25122.82</c:v>
                </c:pt>
              </c:numCache>
            </c:numRef>
          </c:val>
          <c:extLst>
            <c:ext xmlns:c16="http://schemas.microsoft.com/office/drawing/2014/chart" uri="{C3380CC4-5D6E-409C-BE32-E72D297353CC}">
              <c16:uniqueId val="{00000000-7A44-49EA-A89A-A5DAA591970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Wise Order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Tables'!$I$4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Tables'!$H$5:$H$6</c:f>
              <c:strCache>
                <c:ptCount val="1"/>
                <c:pt idx="0">
                  <c:v>June</c:v>
                </c:pt>
              </c:strCache>
            </c:strRef>
          </c:cat>
          <c:val>
            <c:numRef>
              <c:f>'Pivot Tables'!$I$5:$I$6</c:f>
              <c:numCache>
                <c:formatCode>General</c:formatCode>
                <c:ptCount val="1"/>
                <c:pt idx="0">
                  <c:v>251203.20000000004</c:v>
                </c:pt>
              </c:numCache>
            </c:numRef>
          </c:val>
          <c:smooth val="0"/>
          <c:extLst>
            <c:ext xmlns:c16="http://schemas.microsoft.com/office/drawing/2014/chart" uri="{C3380CC4-5D6E-409C-BE32-E72D297353CC}">
              <c16:uniqueId val="{00000000-AA36-4DD7-A06C-B73F15C360DD}"/>
            </c:ext>
          </c:extLst>
        </c:ser>
        <c:dLbls>
          <c:showLegendKey val="0"/>
          <c:showVal val="0"/>
          <c:showCatName val="0"/>
          <c:showSerName val="0"/>
          <c:showPercent val="0"/>
          <c:showBubbleSize val="0"/>
        </c:dLbls>
        <c:marker val="1"/>
        <c:smooth val="0"/>
        <c:axId val="101937551"/>
        <c:axId val="101938031"/>
      </c:lineChart>
      <c:catAx>
        <c:axId val="10193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38031"/>
        <c:crosses val="autoZero"/>
        <c:auto val="1"/>
        <c:lblAlgn val="ctr"/>
        <c:lblOffset val="100"/>
        <c:noMultiLvlLbl val="0"/>
      </c:catAx>
      <c:valAx>
        <c:axId val="101938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37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 Tables!PivotTable4</c:name>
    <c:fmtId val="15"/>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761656715987426"/>
          <c:y val="0.17469490097749221"/>
          <c:w val="0.43479865016872893"/>
          <c:h val="0.72378095785709928"/>
        </c:manualLayout>
      </c:layout>
      <c:doughnutChart>
        <c:varyColors val="1"/>
        <c:ser>
          <c:idx val="0"/>
          <c:order val="0"/>
          <c:tx>
            <c:strRef>
              <c:f>'Pivot Tables'!$L$4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400-4F8A-A365-323D684424F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400-4F8A-A365-323D684424F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400-4F8A-A365-323D684424F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400-4F8A-A365-323D684424F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Tables'!$K$5:$K$9</c:f>
              <c:strCache>
                <c:ptCount val="4"/>
                <c:pt idx="0">
                  <c:v>Delivered</c:v>
                </c:pt>
                <c:pt idx="1">
                  <c:v>Pending</c:v>
                </c:pt>
                <c:pt idx="2">
                  <c:v>Cancelled</c:v>
                </c:pt>
                <c:pt idx="3">
                  <c:v>Returned</c:v>
                </c:pt>
              </c:strCache>
            </c:strRef>
          </c:cat>
          <c:val>
            <c:numRef>
              <c:f>'Pivot Tables'!$L$5:$L$9</c:f>
              <c:numCache>
                <c:formatCode>General</c:formatCode>
                <c:ptCount val="4"/>
                <c:pt idx="0">
                  <c:v>13</c:v>
                </c:pt>
                <c:pt idx="1">
                  <c:v>7</c:v>
                </c:pt>
                <c:pt idx="2">
                  <c:v>4</c:v>
                </c:pt>
                <c:pt idx="3">
                  <c:v>3</c:v>
                </c:pt>
              </c:numCache>
            </c:numRef>
          </c:val>
          <c:extLst>
            <c:ext xmlns:c16="http://schemas.microsoft.com/office/drawing/2014/chart" uri="{C3380CC4-5D6E-409C-BE32-E72D297353CC}">
              <c16:uniqueId val="{00000008-C400-4F8A-A365-323D684424F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 Tables!PivotTable5</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Channel</a:t>
            </a:r>
            <a:r>
              <a:rPr lang="en-US" baseline="0"/>
              <a:t> Wise Categorization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Tables'!$O$4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A73-4F79-BEAE-5EDD950C7D3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A73-4F79-BEAE-5EDD950C7D3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Tables'!$N$5:$N$7</c:f>
              <c:strCache>
                <c:ptCount val="2"/>
                <c:pt idx="0">
                  <c:v>Mobile App</c:v>
                </c:pt>
                <c:pt idx="1">
                  <c:v>Website</c:v>
                </c:pt>
              </c:strCache>
            </c:strRef>
          </c:cat>
          <c:val>
            <c:numRef>
              <c:f>'Pivot Tables'!$O$5:$O$7</c:f>
              <c:numCache>
                <c:formatCode>General</c:formatCode>
                <c:ptCount val="2"/>
                <c:pt idx="0">
                  <c:v>226080.38</c:v>
                </c:pt>
                <c:pt idx="1">
                  <c:v>25122.82</c:v>
                </c:pt>
              </c:numCache>
            </c:numRef>
          </c:val>
          <c:extLst>
            <c:ext xmlns:c16="http://schemas.microsoft.com/office/drawing/2014/chart" uri="{C3380CC4-5D6E-409C-BE32-E72D297353CC}">
              <c16:uniqueId val="{00000004-3A73-4F79-BEAE-5EDD950C7D3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Category</a:t>
            </a:r>
            <a:r>
              <a:rPr lang="en-US" baseline="0">
                <a:solidFill>
                  <a:schemeClr val="tx1"/>
                </a:solidFill>
              </a:rPr>
              <a:t> Wise Order Amount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Tables'!$C$4</c:f>
              <c:strCache>
                <c:ptCount val="1"/>
                <c:pt idx="0">
                  <c:v>Total</c:v>
                </c:pt>
              </c:strCache>
            </c:strRef>
          </c:tx>
          <c:spPr>
            <a:solidFill>
              <a:schemeClr val="accent1"/>
            </a:solidFill>
            <a:ln>
              <a:noFill/>
            </a:ln>
            <a:effectLst/>
          </c:spPr>
          <c:invertIfNegative val="0"/>
          <c:cat>
            <c:strRef>
              <c:f>'Pivot Tables'!$B$5:$B$10</c:f>
              <c:strCache>
                <c:ptCount val="5"/>
                <c:pt idx="0">
                  <c:v>Beauty</c:v>
                </c:pt>
                <c:pt idx="1">
                  <c:v>Books</c:v>
                </c:pt>
                <c:pt idx="2">
                  <c:v>Electronics</c:v>
                </c:pt>
                <c:pt idx="3">
                  <c:v>Fashion</c:v>
                </c:pt>
                <c:pt idx="4">
                  <c:v>Home</c:v>
                </c:pt>
              </c:strCache>
            </c:strRef>
          </c:cat>
          <c:val>
            <c:numRef>
              <c:f>'Pivot Tables'!$C$5:$C$10</c:f>
              <c:numCache>
                <c:formatCode>General</c:formatCode>
                <c:ptCount val="5"/>
                <c:pt idx="0">
                  <c:v>10259.77</c:v>
                </c:pt>
                <c:pt idx="1">
                  <c:v>94279.47</c:v>
                </c:pt>
                <c:pt idx="2">
                  <c:v>58731.330000000009</c:v>
                </c:pt>
                <c:pt idx="3">
                  <c:v>78864.049999999988</c:v>
                </c:pt>
                <c:pt idx="4">
                  <c:v>9068.58</c:v>
                </c:pt>
              </c:numCache>
            </c:numRef>
          </c:val>
          <c:extLst>
            <c:ext xmlns:c16="http://schemas.microsoft.com/office/drawing/2014/chart" uri="{C3380CC4-5D6E-409C-BE32-E72D297353CC}">
              <c16:uniqueId val="{00000000-F70D-4412-8A40-DD9659CBAF85}"/>
            </c:ext>
          </c:extLst>
        </c:ser>
        <c:dLbls>
          <c:showLegendKey val="0"/>
          <c:showVal val="0"/>
          <c:showCatName val="0"/>
          <c:showSerName val="0"/>
          <c:showPercent val="0"/>
          <c:showBubbleSize val="0"/>
        </c:dLbls>
        <c:gapWidth val="219"/>
        <c:overlap val="-27"/>
        <c:axId val="101917871"/>
        <c:axId val="101923151"/>
      </c:barChart>
      <c:catAx>
        <c:axId val="10191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23151"/>
        <c:crosses val="autoZero"/>
        <c:auto val="1"/>
        <c:lblAlgn val="ctr"/>
        <c:lblOffset val="100"/>
        <c:noMultiLvlLbl val="0"/>
      </c:catAx>
      <c:valAx>
        <c:axId val="101923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1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 Wise Order Amountl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Tables'!$F$4</c:f>
              <c:strCache>
                <c:ptCount val="1"/>
                <c:pt idx="0">
                  <c:v>Total</c:v>
                </c:pt>
              </c:strCache>
            </c:strRef>
          </c:tx>
          <c:spPr>
            <a:solidFill>
              <a:schemeClr val="accent1"/>
            </a:solidFill>
            <a:ln>
              <a:noFill/>
            </a:ln>
            <a:effectLst/>
          </c:spPr>
          <c:invertIfNegative val="0"/>
          <c:cat>
            <c:strRef>
              <c:f>'Pivot Tables'!$E$5:$E$10</c:f>
              <c:strCache>
                <c:ptCount val="5"/>
                <c:pt idx="0">
                  <c:v>Delhi</c:v>
                </c:pt>
                <c:pt idx="1">
                  <c:v>Karnataka</c:v>
                </c:pt>
                <c:pt idx="2">
                  <c:v>Maharashtra</c:v>
                </c:pt>
                <c:pt idx="3">
                  <c:v>Tamil Nadu</c:v>
                </c:pt>
                <c:pt idx="4">
                  <c:v>West Bengal</c:v>
                </c:pt>
              </c:strCache>
            </c:strRef>
          </c:cat>
          <c:val>
            <c:numRef>
              <c:f>'Pivot Tables'!$F$5:$F$10</c:f>
              <c:numCache>
                <c:formatCode>General</c:formatCode>
                <c:ptCount val="5"/>
                <c:pt idx="0">
                  <c:v>16235.61</c:v>
                </c:pt>
                <c:pt idx="1">
                  <c:v>58045.680000000008</c:v>
                </c:pt>
                <c:pt idx="2">
                  <c:v>29316.54</c:v>
                </c:pt>
                <c:pt idx="3">
                  <c:v>41974.680000000008</c:v>
                </c:pt>
                <c:pt idx="4">
                  <c:v>76058.53</c:v>
                </c:pt>
              </c:numCache>
            </c:numRef>
          </c:val>
          <c:extLst>
            <c:ext xmlns:c16="http://schemas.microsoft.com/office/drawing/2014/chart" uri="{C3380CC4-5D6E-409C-BE32-E72D297353CC}">
              <c16:uniqueId val="{00000000-71A2-4CED-A4EA-DB7336E165A4}"/>
            </c:ext>
          </c:extLst>
        </c:ser>
        <c:dLbls>
          <c:showLegendKey val="0"/>
          <c:showVal val="0"/>
          <c:showCatName val="0"/>
          <c:showSerName val="0"/>
          <c:showPercent val="0"/>
          <c:showBubbleSize val="0"/>
        </c:dLbls>
        <c:gapWidth val="182"/>
        <c:axId val="101934671"/>
        <c:axId val="101918831"/>
      </c:barChart>
      <c:catAx>
        <c:axId val="101934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18831"/>
        <c:crosses val="autoZero"/>
        <c:auto val="1"/>
        <c:lblAlgn val="ctr"/>
        <c:lblOffset val="100"/>
        <c:noMultiLvlLbl val="0"/>
      </c:catAx>
      <c:valAx>
        <c:axId val="101918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3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00000000-33CC-40D3-815B-02EE26DAEB6C}">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Mode of Payment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Mode of Payment</a:t>
          </a:r>
        </a:p>
      </cx:txPr>
    </cx:title>
    <cx:plotArea>
      <cx:plotAreaRegion>
        <cx:series layoutId="treemap" uniqueId="{00000000-33CC-40D3-815B-02EE26DAEB6C}">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image" Target="../media/image1.png"/><Relationship Id="rId2" Type="http://schemas.openxmlformats.org/officeDocument/2006/relationships/chart" Target="../charts/chart7.xml"/><Relationship Id="rId1" Type="http://schemas.openxmlformats.org/officeDocument/2006/relationships/chart" Target="../charts/chart6.xml"/><Relationship Id="rId6" Type="http://schemas.microsoft.com/office/2014/relationships/chartEx" Target="../charts/chartEx2.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91440</xdr:rowOff>
    </xdr:from>
    <xdr:to>
      <xdr:col>3</xdr:col>
      <xdr:colOff>392430</xdr:colOff>
      <xdr:row>22</xdr:row>
      <xdr:rowOff>34290</xdr:rowOff>
    </xdr:to>
    <xdr:graphicFrame macro="">
      <xdr:nvGraphicFramePr>
        <xdr:cNvPr id="2" name="Chart 1">
          <a:extLst>
            <a:ext uri="{FF2B5EF4-FFF2-40B4-BE49-F238E27FC236}">
              <a16:creationId xmlns:a16="http://schemas.microsoft.com/office/drawing/2014/main" id="{2C05EC68-6C8B-A822-BC70-DCAF57ADCC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476250</xdr:colOff>
      <xdr:row>10</xdr:row>
      <xdr:rowOff>121920</xdr:rowOff>
    </xdr:from>
    <xdr:to>
      <xdr:col>6</xdr:col>
      <xdr:colOff>426720</xdr:colOff>
      <xdr:row>22</xdr:row>
      <xdr:rowOff>171450</xdr:rowOff>
    </xdr:to>
    <xdr:graphicFrame macro="">
      <xdr:nvGraphicFramePr>
        <xdr:cNvPr id="3" name="Chart 2">
          <a:extLst>
            <a:ext uri="{FF2B5EF4-FFF2-40B4-BE49-F238E27FC236}">
              <a16:creationId xmlns:a16="http://schemas.microsoft.com/office/drawing/2014/main" id="{56D75C0B-0522-C1C9-FDDE-44F3CA81E5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457200</xdr:colOff>
      <xdr:row>17</xdr:row>
      <xdr:rowOff>57150</xdr:rowOff>
    </xdr:from>
    <xdr:to>
      <xdr:col>9</xdr:col>
      <xdr:colOff>335280</xdr:colOff>
      <xdr:row>26</xdr:row>
      <xdr:rowOff>7620</xdr:rowOff>
    </xdr:to>
    <xdr:graphicFrame macro="">
      <xdr:nvGraphicFramePr>
        <xdr:cNvPr id="4" name="Chart 3">
          <a:extLst>
            <a:ext uri="{FF2B5EF4-FFF2-40B4-BE49-F238E27FC236}">
              <a16:creationId xmlns:a16="http://schemas.microsoft.com/office/drawing/2014/main" id="{786F49CF-730A-4E3C-148A-91290ADA47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396240</xdr:colOff>
      <xdr:row>9</xdr:row>
      <xdr:rowOff>160020</xdr:rowOff>
    </xdr:from>
    <xdr:to>
      <xdr:col>13</xdr:col>
      <xdr:colOff>0</xdr:colOff>
      <xdr:row>23</xdr:row>
      <xdr:rowOff>26670</xdr:rowOff>
    </xdr:to>
    <xdr:graphicFrame macro="">
      <xdr:nvGraphicFramePr>
        <xdr:cNvPr id="6" name="Chart 5">
          <a:extLst>
            <a:ext uri="{FF2B5EF4-FFF2-40B4-BE49-F238E27FC236}">
              <a16:creationId xmlns:a16="http://schemas.microsoft.com/office/drawing/2014/main" id="{5FAC83D1-6546-C756-0EB1-7C46E33C62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205740</xdr:colOff>
      <xdr:row>8</xdr:row>
      <xdr:rowOff>60960</xdr:rowOff>
    </xdr:from>
    <xdr:to>
      <xdr:col>15</xdr:col>
      <xdr:colOff>487680</xdr:colOff>
      <xdr:row>22</xdr:row>
      <xdr:rowOff>148590</xdr:rowOff>
    </xdr:to>
    <xdr:graphicFrame macro="">
      <xdr:nvGraphicFramePr>
        <xdr:cNvPr id="7" name="Chart 6">
          <a:extLst>
            <a:ext uri="{FF2B5EF4-FFF2-40B4-BE49-F238E27FC236}">
              <a16:creationId xmlns:a16="http://schemas.microsoft.com/office/drawing/2014/main" id="{8D13D0E3-2611-6914-98AF-17499ED1EE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236220</xdr:colOff>
      <xdr:row>16</xdr:row>
      <xdr:rowOff>95250</xdr:rowOff>
    </xdr:from>
    <xdr:to>
      <xdr:col>22</xdr:col>
      <xdr:colOff>190500</xdr:colOff>
      <xdr:row>25</xdr:row>
      <xdr:rowOff>167640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AD443B06-26F5-4730-66AC-16BC027A23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7411700" y="3021330"/>
              <a:ext cx="3017520" cy="17183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22</xdr:col>
      <xdr:colOff>297180</xdr:colOff>
      <xdr:row>0</xdr:row>
      <xdr:rowOff>129540</xdr:rowOff>
    </xdr:from>
    <xdr:to>
      <xdr:col>26</xdr:col>
      <xdr:colOff>312420</xdr:colOff>
      <xdr:row>14</xdr:row>
      <xdr:rowOff>36195</xdr:rowOff>
    </xdr:to>
    <mc:AlternateContent xmlns:mc="http://schemas.openxmlformats.org/markup-compatibility/2006" xmlns:a14="http://schemas.microsoft.com/office/drawing/2010/main">
      <mc:Choice Requires="a14">
        <xdr:graphicFrame macro="">
          <xdr:nvGraphicFramePr>
            <xdr:cNvPr id="9" name="Order_month">
              <a:extLst>
                <a:ext uri="{FF2B5EF4-FFF2-40B4-BE49-F238E27FC236}">
                  <a16:creationId xmlns:a16="http://schemas.microsoft.com/office/drawing/2014/main" id="{980B6AD5-107F-B973-34A4-61DB9C14424B}"/>
                </a:ext>
              </a:extLst>
            </xdr:cNvPr>
            <xdr:cNvGraphicFramePr/>
          </xdr:nvGraphicFramePr>
          <xdr:xfrm>
            <a:off x="0" y="0"/>
            <a:ext cx="0" cy="0"/>
          </xdr:xfrm>
          <a:graphic>
            <a:graphicData uri="http://schemas.microsoft.com/office/drawing/2010/slicer">
              <sle:slicer xmlns:sle="http://schemas.microsoft.com/office/drawing/2010/slicer" name="Order_month"/>
            </a:graphicData>
          </a:graphic>
        </xdr:graphicFrame>
      </mc:Choice>
      <mc:Fallback xmlns="">
        <xdr:sp macro="" textlink="">
          <xdr:nvSpPr>
            <xdr:cNvPr id="0" name=""/>
            <xdr:cNvSpPr>
              <a:spLocks noTextEdit="1"/>
            </xdr:cNvSpPr>
          </xdr:nvSpPr>
          <xdr:spPr>
            <a:xfrm>
              <a:off x="20535900" y="129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388620</xdr:colOff>
      <xdr:row>14</xdr:row>
      <xdr:rowOff>175260</xdr:rowOff>
    </xdr:from>
    <xdr:to>
      <xdr:col>26</xdr:col>
      <xdr:colOff>403860</xdr:colOff>
      <xdr:row>28</xdr:row>
      <xdr:rowOff>81915</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DB6D1832-F858-5573-701D-4A6DF3EF631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627340" y="2735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495300</xdr:colOff>
      <xdr:row>0</xdr:row>
      <xdr:rowOff>83820</xdr:rowOff>
    </xdr:from>
    <xdr:to>
      <xdr:col>29</xdr:col>
      <xdr:colOff>381000</xdr:colOff>
      <xdr:row>13</xdr:row>
      <xdr:rowOff>173355</xdr:rowOff>
    </xdr:to>
    <mc:AlternateContent xmlns:mc="http://schemas.openxmlformats.org/markup-compatibility/2006" xmlns:a14="http://schemas.microsoft.com/office/drawing/2010/main">
      <mc:Choice Requires="a14">
        <xdr:graphicFrame macro="">
          <xdr:nvGraphicFramePr>
            <xdr:cNvPr id="11" name="OrderStatus">
              <a:extLst>
                <a:ext uri="{FF2B5EF4-FFF2-40B4-BE49-F238E27FC236}">
                  <a16:creationId xmlns:a16="http://schemas.microsoft.com/office/drawing/2014/main" id="{05D12F36-CE3B-227A-F972-F5D0C06798D5}"/>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22547580" y="83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236220</xdr:colOff>
      <xdr:row>14</xdr:row>
      <xdr:rowOff>76200</xdr:rowOff>
    </xdr:from>
    <xdr:to>
      <xdr:col>30</xdr:col>
      <xdr:colOff>175260</xdr:colOff>
      <xdr:row>27</xdr:row>
      <xdr:rowOff>165735</xdr:rowOff>
    </xdr:to>
    <mc:AlternateContent xmlns:mc="http://schemas.openxmlformats.org/markup-compatibility/2006" xmlns:a14="http://schemas.microsoft.com/office/drawing/2010/main">
      <mc:Choice Requires="a14">
        <xdr:graphicFrame macro="">
          <xdr:nvGraphicFramePr>
            <xdr:cNvPr id="12" name="PaymentMode">
              <a:extLst>
                <a:ext uri="{FF2B5EF4-FFF2-40B4-BE49-F238E27FC236}">
                  <a16:creationId xmlns:a16="http://schemas.microsoft.com/office/drawing/2014/main" id="{647AD417-F14A-C921-F945-C670A96127FA}"/>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mlns="">
        <xdr:sp macro="" textlink="">
          <xdr:nvSpPr>
            <xdr:cNvPr id="0" name=""/>
            <xdr:cNvSpPr>
              <a:spLocks noTextEdit="1"/>
            </xdr:cNvSpPr>
          </xdr:nvSpPr>
          <xdr:spPr>
            <a:xfrm>
              <a:off x="22821900" y="2636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137160</xdr:colOff>
      <xdr:row>0</xdr:row>
      <xdr:rowOff>53340</xdr:rowOff>
    </xdr:from>
    <xdr:to>
      <xdr:col>34</xdr:col>
      <xdr:colOff>160020</xdr:colOff>
      <xdr:row>13</xdr:row>
      <xdr:rowOff>142875</xdr:rowOff>
    </xdr:to>
    <mc:AlternateContent xmlns:mc="http://schemas.openxmlformats.org/markup-compatibility/2006" xmlns:a14="http://schemas.microsoft.com/office/drawing/2010/main">
      <mc:Choice Requires="a14">
        <xdr:graphicFrame macro="">
          <xdr:nvGraphicFramePr>
            <xdr:cNvPr id="13" name="Channel">
              <a:extLst>
                <a:ext uri="{FF2B5EF4-FFF2-40B4-BE49-F238E27FC236}">
                  <a16:creationId xmlns:a16="http://schemas.microsoft.com/office/drawing/2014/main" id="{54D02E91-16D9-72D0-38A3-4D0B7F90E1F0}"/>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24612600" y="53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123824</xdr:rowOff>
    </xdr:from>
    <xdr:to>
      <xdr:col>20</xdr:col>
      <xdr:colOff>466726</xdr:colOff>
      <xdr:row>35</xdr:row>
      <xdr:rowOff>85725</xdr:rowOff>
    </xdr:to>
    <xdr:grpSp>
      <xdr:nvGrpSpPr>
        <xdr:cNvPr id="10" name="Group 9">
          <a:extLst>
            <a:ext uri="{FF2B5EF4-FFF2-40B4-BE49-F238E27FC236}">
              <a16:creationId xmlns:a16="http://schemas.microsoft.com/office/drawing/2014/main" id="{9D3B5753-663E-28F9-1C0B-01C45E5F5CC6}"/>
            </a:ext>
          </a:extLst>
        </xdr:cNvPr>
        <xdr:cNvGrpSpPr/>
      </xdr:nvGrpSpPr>
      <xdr:grpSpPr>
        <a:xfrm>
          <a:off x="0" y="1209674"/>
          <a:ext cx="12658726" cy="5210176"/>
          <a:chOff x="0" y="1209674"/>
          <a:chExt cx="12658726" cy="5210176"/>
        </a:xfrm>
      </xdr:grpSpPr>
      <xdr:graphicFrame macro="">
        <xdr:nvGraphicFramePr>
          <xdr:cNvPr id="4" name="Chart 3">
            <a:extLst>
              <a:ext uri="{FF2B5EF4-FFF2-40B4-BE49-F238E27FC236}">
                <a16:creationId xmlns:a16="http://schemas.microsoft.com/office/drawing/2014/main" id="{E93384EB-ABC7-438D-A18B-0D8BA9274956}"/>
              </a:ext>
            </a:extLst>
          </xdr:cNvPr>
          <xdr:cNvGraphicFramePr>
            <a:graphicFrameLocks/>
          </xdr:cNvGraphicFramePr>
        </xdr:nvGraphicFramePr>
        <xdr:xfrm>
          <a:off x="0" y="3743324"/>
          <a:ext cx="4619625" cy="260032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5" name="Chart 4">
            <a:extLst>
              <a:ext uri="{FF2B5EF4-FFF2-40B4-BE49-F238E27FC236}">
                <a16:creationId xmlns:a16="http://schemas.microsoft.com/office/drawing/2014/main" id="{F6C2EA71-0A75-412B-8443-DE25FE55A2AC}"/>
              </a:ext>
            </a:extLst>
          </xdr:cNvPr>
          <xdr:cNvGraphicFramePr>
            <a:graphicFrameLocks/>
          </xdr:cNvGraphicFramePr>
        </xdr:nvGraphicFramePr>
        <xdr:xfrm>
          <a:off x="4619625" y="3619500"/>
          <a:ext cx="4333875" cy="276225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 name="Chart 5">
            <a:extLst>
              <a:ext uri="{FF2B5EF4-FFF2-40B4-BE49-F238E27FC236}">
                <a16:creationId xmlns:a16="http://schemas.microsoft.com/office/drawing/2014/main" id="{7FA69C2C-1B84-4F70-A2AE-241027F01069}"/>
              </a:ext>
            </a:extLst>
          </xdr:cNvPr>
          <xdr:cNvGraphicFramePr>
            <a:graphicFrameLocks/>
          </xdr:cNvGraphicFramePr>
        </xdr:nvGraphicFramePr>
        <xdr:xfrm>
          <a:off x="8943976" y="3714751"/>
          <a:ext cx="3714750" cy="2705099"/>
        </xdr:xfrm>
        <a:graphic>
          <a:graphicData uri="http://schemas.openxmlformats.org/drawingml/2006/chart">
            <c:chart xmlns:c="http://schemas.openxmlformats.org/drawingml/2006/chart" xmlns:r="http://schemas.openxmlformats.org/officeDocument/2006/relationships" r:id="rId3"/>
          </a:graphicData>
        </a:graphic>
      </xdr:graphicFrame>
      <xdr:grpSp>
        <xdr:nvGrpSpPr>
          <xdr:cNvPr id="9" name="Group 8">
            <a:extLst>
              <a:ext uri="{FF2B5EF4-FFF2-40B4-BE49-F238E27FC236}">
                <a16:creationId xmlns:a16="http://schemas.microsoft.com/office/drawing/2014/main" id="{FC223FD0-6760-BC63-E099-D968BE801730}"/>
              </a:ext>
            </a:extLst>
          </xdr:cNvPr>
          <xdr:cNvGrpSpPr/>
        </xdr:nvGrpSpPr>
        <xdr:grpSpPr>
          <a:xfrm>
            <a:off x="0" y="1209674"/>
            <a:ext cx="12649200" cy="2514601"/>
            <a:chOff x="28575" y="1733549"/>
            <a:chExt cx="12649200" cy="2514601"/>
          </a:xfrm>
        </xdr:grpSpPr>
        <xdr:graphicFrame macro="">
          <xdr:nvGraphicFramePr>
            <xdr:cNvPr id="2" name="Chart 1">
              <a:extLst>
                <a:ext uri="{FF2B5EF4-FFF2-40B4-BE49-F238E27FC236}">
                  <a16:creationId xmlns:a16="http://schemas.microsoft.com/office/drawing/2014/main" id="{842B3471-8E08-4A51-B595-56ACC2D75131}"/>
                </a:ext>
              </a:extLst>
            </xdr:cNvPr>
            <xdr:cNvGraphicFramePr>
              <a:graphicFrameLocks/>
            </xdr:cNvGraphicFramePr>
          </xdr:nvGraphicFramePr>
          <xdr:xfrm>
            <a:off x="28575" y="1733550"/>
            <a:ext cx="4610100" cy="25146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 name="Chart 2">
              <a:extLst>
                <a:ext uri="{FF2B5EF4-FFF2-40B4-BE49-F238E27FC236}">
                  <a16:creationId xmlns:a16="http://schemas.microsoft.com/office/drawing/2014/main" id="{6C4E45C7-4F29-462F-BBD9-B935919927E4}"/>
                </a:ext>
              </a:extLst>
            </xdr:cNvPr>
            <xdr:cNvGraphicFramePr>
              <a:graphicFrameLocks/>
            </xdr:cNvGraphicFramePr>
          </xdr:nvGraphicFramePr>
          <xdr:xfrm>
            <a:off x="4648199" y="1733549"/>
            <a:ext cx="4286251" cy="2505075"/>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914E4A65-885E-4DE4-9153-97120BB0B47A}"/>
                    </a:ext>
                  </a:extLst>
                </xdr:cNvPr>
                <xdr:cNvGraphicFramePr/>
              </xdr:nvGraphicFramePr>
              <xdr:xfrm>
                <a:off x="8934450" y="1733550"/>
                <a:ext cx="3743325" cy="249555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934450" y="1733550"/>
                  <a:ext cx="3743325" cy="24955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grpSp>
    <xdr:clientData/>
  </xdr:twoCellAnchor>
  <xdr:twoCellAnchor>
    <xdr:from>
      <xdr:col>0</xdr:col>
      <xdr:colOff>200025</xdr:colOff>
      <xdr:row>1</xdr:row>
      <xdr:rowOff>28575</xdr:rowOff>
    </xdr:from>
    <xdr:to>
      <xdr:col>20</xdr:col>
      <xdr:colOff>171450</xdr:colOff>
      <xdr:row>5</xdr:row>
      <xdr:rowOff>95250</xdr:rowOff>
    </xdr:to>
    <xdr:sp macro="" textlink="">
      <xdr:nvSpPr>
        <xdr:cNvPr id="8" name="TextBox 7">
          <a:extLst>
            <a:ext uri="{FF2B5EF4-FFF2-40B4-BE49-F238E27FC236}">
              <a16:creationId xmlns:a16="http://schemas.microsoft.com/office/drawing/2014/main" id="{3A168555-3C91-9DE0-3652-C208786B3023}"/>
            </a:ext>
          </a:extLst>
        </xdr:cNvPr>
        <xdr:cNvSpPr txBox="1"/>
      </xdr:nvSpPr>
      <xdr:spPr>
        <a:xfrm>
          <a:off x="200025" y="209550"/>
          <a:ext cx="12163425" cy="790575"/>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a:solidFill>
                <a:schemeClr val="accent1"/>
              </a:solidFill>
              <a:latin typeface="Algerian" panose="04020705040A02060702" pitchFamily="82" charset="0"/>
            </a:rPr>
            <a:t>E COMMERCE SALES ANALYSIS DASHBOARD</a:t>
          </a:r>
        </a:p>
      </xdr:txBody>
    </xdr:sp>
    <xdr:clientData/>
  </xdr:twoCellAnchor>
  <xdr:twoCellAnchor editAs="oneCell">
    <xdr:from>
      <xdr:col>24</xdr:col>
      <xdr:colOff>590549</xdr:colOff>
      <xdr:row>13</xdr:row>
      <xdr:rowOff>0</xdr:rowOff>
    </xdr:from>
    <xdr:to>
      <xdr:col>29</xdr:col>
      <xdr:colOff>0</xdr:colOff>
      <xdr:row>26</xdr:row>
      <xdr:rowOff>114300</xdr:rowOff>
    </xdr:to>
    <mc:AlternateContent xmlns:mc="http://schemas.openxmlformats.org/markup-compatibility/2006" xmlns:a14="http://schemas.microsoft.com/office/drawing/2010/main">
      <mc:Choice Requires="a14">
        <xdr:graphicFrame macro="">
          <xdr:nvGraphicFramePr>
            <xdr:cNvPr id="11" name="Order_month 1">
              <a:extLst>
                <a:ext uri="{FF2B5EF4-FFF2-40B4-BE49-F238E27FC236}">
                  <a16:creationId xmlns:a16="http://schemas.microsoft.com/office/drawing/2014/main" id="{2F2B2D49-D366-42EC-8598-EB019432F9F5}"/>
                </a:ext>
              </a:extLst>
            </xdr:cNvPr>
            <xdr:cNvGraphicFramePr/>
          </xdr:nvGraphicFramePr>
          <xdr:xfrm>
            <a:off x="0" y="0"/>
            <a:ext cx="0" cy="0"/>
          </xdr:xfrm>
          <a:graphic>
            <a:graphicData uri="http://schemas.microsoft.com/office/drawing/2010/slicer">
              <sle:slicer xmlns:sle="http://schemas.microsoft.com/office/drawing/2010/slicer" name="Order_month 1"/>
            </a:graphicData>
          </a:graphic>
        </xdr:graphicFrame>
      </mc:Choice>
      <mc:Fallback xmlns="">
        <xdr:sp macro="" textlink="">
          <xdr:nvSpPr>
            <xdr:cNvPr id="0" name=""/>
            <xdr:cNvSpPr>
              <a:spLocks noTextEdit="1"/>
            </xdr:cNvSpPr>
          </xdr:nvSpPr>
          <xdr:spPr>
            <a:xfrm>
              <a:off x="15220949" y="2352675"/>
              <a:ext cx="2457451"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561975</xdr:colOff>
      <xdr:row>4</xdr:row>
      <xdr:rowOff>76201</xdr:rowOff>
    </xdr:from>
    <xdr:to>
      <xdr:col>29</xdr:col>
      <xdr:colOff>9525</xdr:colOff>
      <xdr:row>12</xdr:row>
      <xdr:rowOff>152401</xdr:rowOff>
    </xdr:to>
    <mc:AlternateContent xmlns:mc="http://schemas.openxmlformats.org/markup-compatibility/2006" xmlns:a14="http://schemas.microsoft.com/office/drawing/2010/main">
      <mc:Choice Requires="a14">
        <xdr:graphicFrame macro="">
          <xdr:nvGraphicFramePr>
            <xdr:cNvPr id="12" name="Category 1">
              <a:extLst>
                <a:ext uri="{FF2B5EF4-FFF2-40B4-BE49-F238E27FC236}">
                  <a16:creationId xmlns:a16="http://schemas.microsoft.com/office/drawing/2014/main" id="{E3992B6E-01C4-4A56-8537-E1D9EA246DD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192375" y="800101"/>
              <a:ext cx="249555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590549</xdr:colOff>
      <xdr:row>26</xdr:row>
      <xdr:rowOff>104775</xdr:rowOff>
    </xdr:from>
    <xdr:to>
      <xdr:col>29</xdr:col>
      <xdr:colOff>46575</xdr:colOff>
      <xdr:row>34</xdr:row>
      <xdr:rowOff>85725</xdr:rowOff>
    </xdr:to>
    <mc:AlternateContent xmlns:mc="http://schemas.openxmlformats.org/markup-compatibility/2006" xmlns:a14="http://schemas.microsoft.com/office/drawing/2010/main">
      <mc:Choice Requires="a14">
        <xdr:graphicFrame macro="">
          <xdr:nvGraphicFramePr>
            <xdr:cNvPr id="13" name="PaymentMode 1">
              <a:extLst>
                <a:ext uri="{FF2B5EF4-FFF2-40B4-BE49-F238E27FC236}">
                  <a16:creationId xmlns:a16="http://schemas.microsoft.com/office/drawing/2014/main" id="{90F40D7B-B150-4746-9B86-2CC78CE918C1}"/>
                </a:ext>
              </a:extLst>
            </xdr:cNvPr>
            <xdr:cNvGraphicFramePr/>
          </xdr:nvGraphicFramePr>
          <xdr:xfrm>
            <a:off x="0" y="0"/>
            <a:ext cx="0" cy="0"/>
          </xdr:xfrm>
          <a:graphic>
            <a:graphicData uri="http://schemas.microsoft.com/office/drawing/2010/slicer">
              <sle:slicer xmlns:sle="http://schemas.microsoft.com/office/drawing/2010/slicer" name="PaymentMode 1"/>
            </a:graphicData>
          </a:graphic>
        </xdr:graphicFrame>
      </mc:Choice>
      <mc:Fallback xmlns="">
        <xdr:sp macro="" textlink="">
          <xdr:nvSpPr>
            <xdr:cNvPr id="0" name=""/>
            <xdr:cNvSpPr>
              <a:spLocks noTextEdit="1"/>
            </xdr:cNvSpPr>
          </xdr:nvSpPr>
          <xdr:spPr>
            <a:xfrm>
              <a:off x="15220949" y="4810125"/>
              <a:ext cx="2504026"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152399</xdr:colOff>
      <xdr:row>0</xdr:row>
      <xdr:rowOff>66675</xdr:rowOff>
    </xdr:from>
    <xdr:to>
      <xdr:col>29</xdr:col>
      <xdr:colOff>19050</xdr:colOff>
      <xdr:row>3</xdr:row>
      <xdr:rowOff>135750</xdr:rowOff>
    </xdr:to>
    <mc:AlternateContent xmlns:mc="http://schemas.openxmlformats.org/markup-compatibility/2006" xmlns:a14="http://schemas.microsoft.com/office/drawing/2010/main">
      <mc:Choice Requires="a14">
        <xdr:graphicFrame macro="">
          <xdr:nvGraphicFramePr>
            <xdr:cNvPr id="14" name="Channel 1">
              <a:extLst>
                <a:ext uri="{FF2B5EF4-FFF2-40B4-BE49-F238E27FC236}">
                  <a16:creationId xmlns:a16="http://schemas.microsoft.com/office/drawing/2014/main" id="{F7848C56-CA8C-44EC-92C6-B5671FB033E5}"/>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3563599" y="66675"/>
              <a:ext cx="4133851" cy="61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247650</xdr:colOff>
      <xdr:row>0</xdr:row>
      <xdr:rowOff>38100</xdr:rowOff>
    </xdr:from>
    <xdr:to>
      <xdr:col>22</xdr:col>
      <xdr:colOff>57150</xdr:colOff>
      <xdr:row>5</xdr:row>
      <xdr:rowOff>66675</xdr:rowOff>
    </xdr:to>
    <xdr:pic>
      <xdr:nvPicPr>
        <xdr:cNvPr id="24" name="Picture 23">
          <a:extLst>
            <a:ext uri="{FF2B5EF4-FFF2-40B4-BE49-F238E27FC236}">
              <a16:creationId xmlns:a16="http://schemas.microsoft.com/office/drawing/2014/main" id="{6F878C3E-EC6B-7923-7566-F6E74ED3AE0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2439650" y="38100"/>
          <a:ext cx="1028700" cy="933450"/>
        </a:xfrm>
        <a:prstGeom prst="rect">
          <a:avLst/>
        </a:prstGeom>
      </xdr:spPr>
    </xdr:pic>
    <xdr:clientData/>
  </xdr:twoCellAnchor>
  <xdr:twoCellAnchor>
    <xdr:from>
      <xdr:col>21</xdr:col>
      <xdr:colOff>342900</xdr:colOff>
      <xdr:row>30</xdr:row>
      <xdr:rowOff>9525</xdr:rowOff>
    </xdr:from>
    <xdr:to>
      <xdr:col>24</xdr:col>
      <xdr:colOff>209550</xdr:colOff>
      <xdr:row>32</xdr:row>
      <xdr:rowOff>104775</xdr:rowOff>
    </xdr:to>
    <xdr:sp macro="" textlink="">
      <xdr:nvSpPr>
        <xdr:cNvPr id="29" name="TextBox 28">
          <a:extLst>
            <a:ext uri="{FF2B5EF4-FFF2-40B4-BE49-F238E27FC236}">
              <a16:creationId xmlns:a16="http://schemas.microsoft.com/office/drawing/2014/main" id="{52B242F6-49E7-458B-6F3F-9144911E4B4C}"/>
            </a:ext>
          </a:extLst>
        </xdr:cNvPr>
        <xdr:cNvSpPr txBox="1"/>
      </xdr:nvSpPr>
      <xdr:spPr>
        <a:xfrm>
          <a:off x="13144500" y="5438775"/>
          <a:ext cx="16954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21</xdr:col>
      <xdr:colOff>38100</xdr:colOff>
      <xdr:row>6</xdr:row>
      <xdr:rowOff>1</xdr:rowOff>
    </xdr:from>
    <xdr:to>
      <xdr:col>25</xdr:col>
      <xdr:colOff>219075</xdr:colOff>
      <xdr:row>34</xdr:row>
      <xdr:rowOff>19051</xdr:rowOff>
    </xdr:to>
    <xdr:grpSp>
      <xdr:nvGrpSpPr>
        <xdr:cNvPr id="32" name="Group 31">
          <a:extLst>
            <a:ext uri="{FF2B5EF4-FFF2-40B4-BE49-F238E27FC236}">
              <a16:creationId xmlns:a16="http://schemas.microsoft.com/office/drawing/2014/main" id="{D83B4988-CC52-EB41-859D-465CE0E639FF}"/>
            </a:ext>
          </a:extLst>
        </xdr:cNvPr>
        <xdr:cNvGrpSpPr/>
      </xdr:nvGrpSpPr>
      <xdr:grpSpPr>
        <a:xfrm>
          <a:off x="12839700" y="1085851"/>
          <a:ext cx="2619375" cy="5086350"/>
          <a:chOff x="12858750" y="1095375"/>
          <a:chExt cx="2619375" cy="5019675"/>
        </a:xfrm>
      </xdr:grpSpPr>
      <xdr:grpSp>
        <xdr:nvGrpSpPr>
          <xdr:cNvPr id="31" name="Group 30">
            <a:extLst>
              <a:ext uri="{FF2B5EF4-FFF2-40B4-BE49-F238E27FC236}">
                <a16:creationId xmlns:a16="http://schemas.microsoft.com/office/drawing/2014/main" id="{04ED078A-ABCA-16CB-51CA-452009661B88}"/>
              </a:ext>
            </a:extLst>
          </xdr:cNvPr>
          <xdr:cNvGrpSpPr/>
        </xdr:nvGrpSpPr>
        <xdr:grpSpPr>
          <a:xfrm>
            <a:off x="12858750" y="1095375"/>
            <a:ext cx="2257425" cy="5019675"/>
            <a:chOff x="12830175" y="1000125"/>
            <a:chExt cx="2257425" cy="5019675"/>
          </a:xfrm>
        </xdr:grpSpPr>
        <xdr:sp macro="" textlink="">
          <xdr:nvSpPr>
            <xdr:cNvPr id="15" name="Rectangle: Rounded Corners 14">
              <a:extLst>
                <a:ext uri="{FF2B5EF4-FFF2-40B4-BE49-F238E27FC236}">
                  <a16:creationId xmlns:a16="http://schemas.microsoft.com/office/drawing/2014/main" id="{32855F62-8847-976D-D15E-9B29DDB5337B}"/>
                </a:ext>
              </a:extLst>
            </xdr:cNvPr>
            <xdr:cNvSpPr/>
          </xdr:nvSpPr>
          <xdr:spPr>
            <a:xfrm>
              <a:off x="12830175" y="1000125"/>
              <a:ext cx="2162175" cy="11334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666B8872-E80A-F5C8-3B1B-BB513A7B53CF}"/>
                </a:ext>
              </a:extLst>
            </xdr:cNvPr>
            <xdr:cNvSpPr/>
          </xdr:nvSpPr>
          <xdr:spPr>
            <a:xfrm>
              <a:off x="12830175" y="2286000"/>
              <a:ext cx="2171700" cy="11334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83B3B6D0-4175-FED4-9739-359192461BC1}"/>
                </a:ext>
              </a:extLst>
            </xdr:cNvPr>
            <xdr:cNvSpPr/>
          </xdr:nvSpPr>
          <xdr:spPr>
            <a:xfrm>
              <a:off x="12896850" y="3600450"/>
              <a:ext cx="2171700" cy="11334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8BA5921F-7900-D3D7-2218-1C74BF7DE3C0}"/>
                </a:ext>
              </a:extLst>
            </xdr:cNvPr>
            <xdr:cNvSpPr/>
          </xdr:nvSpPr>
          <xdr:spPr>
            <a:xfrm>
              <a:off x="12915900" y="4886325"/>
              <a:ext cx="2171700" cy="11334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19" name="TextBox 18">
            <a:extLst>
              <a:ext uri="{FF2B5EF4-FFF2-40B4-BE49-F238E27FC236}">
                <a16:creationId xmlns:a16="http://schemas.microsoft.com/office/drawing/2014/main" id="{C1FD7AED-5251-B63B-D658-E350E2706C71}"/>
              </a:ext>
            </a:extLst>
          </xdr:cNvPr>
          <xdr:cNvSpPr txBox="1"/>
        </xdr:nvSpPr>
        <xdr:spPr>
          <a:xfrm>
            <a:off x="13106400" y="1228725"/>
            <a:ext cx="16764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FFFF00"/>
                </a:solidFill>
                <a:latin typeface="Aptos Display" panose="020B0004020202020204" pitchFamily="34" charset="0"/>
              </a:rPr>
              <a:t>Total</a:t>
            </a:r>
            <a:r>
              <a:rPr lang="en-IN" sz="2000" baseline="0">
                <a:solidFill>
                  <a:srgbClr val="FFFF00"/>
                </a:solidFill>
                <a:latin typeface="Aptos Display" panose="020B0004020202020204" pitchFamily="34" charset="0"/>
              </a:rPr>
              <a:t> Revenue</a:t>
            </a:r>
            <a:endParaRPr lang="en-IN" sz="2000">
              <a:solidFill>
                <a:srgbClr val="FFFF00"/>
              </a:solidFill>
              <a:latin typeface="Aptos Display" panose="020B0004020202020204" pitchFamily="34" charset="0"/>
            </a:endParaRPr>
          </a:p>
        </xdr:txBody>
      </xdr:sp>
      <xdr:sp macro="" textlink="">
        <xdr:nvSpPr>
          <xdr:cNvPr id="20" name="TextBox 19">
            <a:extLst>
              <a:ext uri="{FF2B5EF4-FFF2-40B4-BE49-F238E27FC236}">
                <a16:creationId xmlns:a16="http://schemas.microsoft.com/office/drawing/2014/main" id="{02ACA2B9-2359-5353-5CAB-5683142411AD}"/>
              </a:ext>
            </a:extLst>
          </xdr:cNvPr>
          <xdr:cNvSpPr txBox="1"/>
        </xdr:nvSpPr>
        <xdr:spPr>
          <a:xfrm>
            <a:off x="13211175" y="2486025"/>
            <a:ext cx="18764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FFFF00"/>
                </a:solidFill>
                <a:latin typeface="Aptos Display" panose="020B0004020202020204" pitchFamily="34" charset="0"/>
              </a:rPr>
              <a:t>Total Orders</a:t>
            </a:r>
          </a:p>
        </xdr:txBody>
      </xdr:sp>
      <xdr:sp macro="" textlink="">
        <xdr:nvSpPr>
          <xdr:cNvPr id="21" name="TextBox 20">
            <a:extLst>
              <a:ext uri="{FF2B5EF4-FFF2-40B4-BE49-F238E27FC236}">
                <a16:creationId xmlns:a16="http://schemas.microsoft.com/office/drawing/2014/main" id="{338BA9E5-57B8-62B1-A83E-06853DA26C7C}"/>
              </a:ext>
            </a:extLst>
          </xdr:cNvPr>
          <xdr:cNvSpPr txBox="1"/>
        </xdr:nvSpPr>
        <xdr:spPr>
          <a:xfrm>
            <a:off x="13030200" y="3790950"/>
            <a:ext cx="20574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FFFF00"/>
                </a:solidFill>
                <a:latin typeface="Aptos Display" panose="020B0004020202020204" pitchFamily="34" charset="0"/>
              </a:rPr>
              <a:t>Average Order Value</a:t>
            </a:r>
          </a:p>
        </xdr:txBody>
      </xdr:sp>
      <xdr:sp macro="" textlink="">
        <xdr:nvSpPr>
          <xdr:cNvPr id="22" name="TextBox 21">
            <a:extLst>
              <a:ext uri="{FF2B5EF4-FFF2-40B4-BE49-F238E27FC236}">
                <a16:creationId xmlns:a16="http://schemas.microsoft.com/office/drawing/2014/main" id="{E2E3D9EC-E34E-51CC-7BBB-42A1AD97CB4A}"/>
              </a:ext>
            </a:extLst>
          </xdr:cNvPr>
          <xdr:cNvSpPr txBox="1"/>
        </xdr:nvSpPr>
        <xdr:spPr>
          <a:xfrm>
            <a:off x="12868275" y="5067300"/>
            <a:ext cx="2371725"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FFFF00"/>
                </a:solidFill>
                <a:latin typeface="Aptos Display" panose="020B0004020202020204" pitchFamily="34" charset="0"/>
              </a:rPr>
              <a:t>Succesfully Delivered</a:t>
            </a:r>
            <a:r>
              <a:rPr lang="en-IN" sz="1400" baseline="0">
                <a:solidFill>
                  <a:srgbClr val="FFFF00"/>
                </a:solidFill>
                <a:latin typeface="Aptos Display" panose="020B0004020202020204" pitchFamily="34" charset="0"/>
              </a:rPr>
              <a:t> </a:t>
            </a:r>
            <a:r>
              <a:rPr lang="en-IN" sz="1400">
                <a:solidFill>
                  <a:srgbClr val="FFFF00"/>
                </a:solidFill>
                <a:latin typeface="Aptos Display" panose="020B0004020202020204" pitchFamily="34" charset="0"/>
              </a:rPr>
              <a:t>Orders</a:t>
            </a:r>
          </a:p>
        </xdr:txBody>
      </xdr:sp>
      <xdr:sp macro="" textlink="'Pivot Tables'!R16">
        <xdr:nvSpPr>
          <xdr:cNvPr id="25" name="TextBox 24">
            <a:extLst>
              <a:ext uri="{FF2B5EF4-FFF2-40B4-BE49-F238E27FC236}">
                <a16:creationId xmlns:a16="http://schemas.microsoft.com/office/drawing/2014/main" id="{9744D967-8685-A92C-0E66-D8D5E43B903F}"/>
              </a:ext>
            </a:extLst>
          </xdr:cNvPr>
          <xdr:cNvSpPr txBox="1"/>
        </xdr:nvSpPr>
        <xdr:spPr>
          <a:xfrm>
            <a:off x="13058775" y="1647825"/>
            <a:ext cx="1866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0AADDBB-2C24-4E94-8B2E-D9219BC63CD3}" type="TxLink">
              <a:rPr lang="en-US" sz="1800" b="0" i="0" u="none" strike="noStrike">
                <a:solidFill>
                  <a:schemeClr val="bg1"/>
                </a:solidFill>
                <a:latin typeface="Calibri"/>
                <a:ea typeface="Calibri"/>
                <a:cs typeface="Calibri"/>
              </a:rPr>
              <a:pPr algn="ctr"/>
              <a:t>251203.2</a:t>
            </a:fld>
            <a:endParaRPr lang="en-IN" sz="1800">
              <a:solidFill>
                <a:schemeClr val="bg1"/>
              </a:solidFill>
            </a:endParaRPr>
          </a:p>
        </xdr:txBody>
      </xdr:sp>
      <xdr:sp macro="" textlink="'Pivot Tables'!R19">
        <xdr:nvSpPr>
          <xdr:cNvPr id="27" name="TextBox 26">
            <a:extLst>
              <a:ext uri="{FF2B5EF4-FFF2-40B4-BE49-F238E27FC236}">
                <a16:creationId xmlns:a16="http://schemas.microsoft.com/office/drawing/2014/main" id="{258A03AC-ECEA-E6A5-D9C9-719E1EB169BD}"/>
              </a:ext>
            </a:extLst>
          </xdr:cNvPr>
          <xdr:cNvSpPr txBox="1"/>
        </xdr:nvSpPr>
        <xdr:spPr>
          <a:xfrm>
            <a:off x="13039725" y="2828925"/>
            <a:ext cx="17716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37BC687-290C-4C18-82CF-90546BFAD50F}" type="TxLink">
              <a:rPr lang="en-US" sz="1800" b="0" i="0" u="none" strike="noStrike">
                <a:solidFill>
                  <a:schemeClr val="bg1"/>
                </a:solidFill>
                <a:effectLst/>
                <a:latin typeface="Calibri"/>
                <a:ea typeface="Calibri"/>
                <a:cs typeface="Calibri"/>
              </a:rPr>
              <a:pPr algn="ctr"/>
              <a:t>27</a:t>
            </a:fld>
            <a:endParaRPr lang="en-IN" sz="1800">
              <a:solidFill>
                <a:schemeClr val="bg1"/>
              </a:solidFill>
            </a:endParaRPr>
          </a:p>
        </xdr:txBody>
      </xdr:sp>
      <xdr:sp macro="" textlink="'Pivot Tables'!R22">
        <xdr:nvSpPr>
          <xdr:cNvPr id="28" name="TextBox 27">
            <a:extLst>
              <a:ext uri="{FF2B5EF4-FFF2-40B4-BE49-F238E27FC236}">
                <a16:creationId xmlns:a16="http://schemas.microsoft.com/office/drawing/2014/main" id="{82A5C776-C4D7-A16A-62E0-EBD5DDEF8D0B}"/>
              </a:ext>
            </a:extLst>
          </xdr:cNvPr>
          <xdr:cNvSpPr txBox="1"/>
        </xdr:nvSpPr>
        <xdr:spPr>
          <a:xfrm>
            <a:off x="13306425" y="4133850"/>
            <a:ext cx="16668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1978292-E24F-4245-9724-8F1193AFF24C}" type="TxLink">
              <a:rPr lang="en-US" sz="1800" b="0" i="0" u="none" strike="noStrike">
                <a:solidFill>
                  <a:schemeClr val="bg1"/>
                </a:solidFill>
                <a:latin typeface="Calibri"/>
                <a:ea typeface="Calibri"/>
                <a:cs typeface="Calibri"/>
              </a:rPr>
              <a:pPr algn="ctr"/>
              <a:t>9303.822222</a:t>
            </a:fld>
            <a:endParaRPr lang="en-IN" sz="1800">
              <a:solidFill>
                <a:schemeClr val="bg1"/>
              </a:solidFill>
            </a:endParaRPr>
          </a:p>
        </xdr:txBody>
      </xdr:sp>
      <xdr:sp macro="" textlink="'Pivot Tables'!S26">
        <xdr:nvSpPr>
          <xdr:cNvPr id="30" name="TextBox 29">
            <a:extLst>
              <a:ext uri="{FF2B5EF4-FFF2-40B4-BE49-F238E27FC236}">
                <a16:creationId xmlns:a16="http://schemas.microsoft.com/office/drawing/2014/main" id="{C27D0188-3848-4B6C-364E-439854925BA7}"/>
              </a:ext>
            </a:extLst>
          </xdr:cNvPr>
          <xdr:cNvSpPr txBox="1"/>
        </xdr:nvSpPr>
        <xdr:spPr>
          <a:xfrm>
            <a:off x="13630275" y="5410200"/>
            <a:ext cx="18478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BDF2D7-02B9-4295-B46F-402CFA570298}" type="TxLink">
              <a:rPr lang="en-US" sz="1100" b="0" i="0" u="none" strike="noStrike">
                <a:solidFill>
                  <a:srgbClr val="000000"/>
                </a:solidFill>
                <a:effectLst/>
                <a:latin typeface="Calibri"/>
                <a:ea typeface="Calibri"/>
                <a:cs typeface="Calibri"/>
              </a:rPr>
              <a:pPr/>
              <a:t>13</a:t>
            </a:fld>
            <a:endParaRPr lang="en-IN" sz="2000">
              <a:solidFill>
                <a:schemeClr val="bg1"/>
              </a:solidFill>
            </a:endParaRPr>
          </a:p>
        </xdr:txBody>
      </xdr:sp>
    </xdr:grpSp>
    <xdr:clientData/>
  </xdr:twoCellAnchor>
</xdr:wsDr>
</file>

<file path=xl/drawings/drawing3.xml><?xml version="1.0" encoding="utf-8"?>
<c:userShapes xmlns:c="http://schemas.openxmlformats.org/drawingml/2006/chart">
  <cdr:relSizeAnchor xmlns:cdr="http://schemas.openxmlformats.org/drawingml/2006/chartDrawing">
    <cdr:from>
      <cdr:x>0.23516</cdr:x>
      <cdr:y>0.02927</cdr:y>
    </cdr:from>
    <cdr:to>
      <cdr:x>0.83956</cdr:x>
      <cdr:y>0.19024</cdr:y>
    </cdr:to>
    <cdr:sp macro="" textlink="">
      <cdr:nvSpPr>
        <cdr:cNvPr id="2" name="TextBox 1">
          <a:extLst xmlns:a="http://schemas.openxmlformats.org/drawingml/2006/main">
            <a:ext uri="{FF2B5EF4-FFF2-40B4-BE49-F238E27FC236}">
              <a16:creationId xmlns:a16="http://schemas.microsoft.com/office/drawing/2014/main" id="{E80AA4F3-748A-B168-EB0C-EF3065D0CD64}"/>
            </a:ext>
          </a:extLst>
        </cdr:cNvPr>
        <cdr:cNvSpPr txBox="1"/>
      </cdr:nvSpPr>
      <cdr:spPr>
        <a:xfrm xmlns:a="http://schemas.openxmlformats.org/drawingml/2006/main">
          <a:off x="1019174" y="76200"/>
          <a:ext cx="2619375" cy="4191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kern="1200"/>
            <a:t>Order</a:t>
          </a:r>
          <a:r>
            <a:rPr lang="en-IN" sz="1400" kern="1200" baseline="0"/>
            <a:t> status Wise Order count</a:t>
          </a:r>
          <a:endParaRPr lang="en-IN" sz="14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n" refreshedDate="46197.47857013889" createdVersion="8" refreshedVersion="8" minRefreshableVersion="3" recordCount="1100" xr:uid="{C79A382D-C69A-441B-91A1-63889A0F84F1}">
  <cacheSource type="worksheet">
    <worksheetSource name="Orders"/>
  </cacheSource>
  <cacheFields count="14">
    <cacheField name="OrderID" numFmtId="0">
      <sharedItems/>
    </cacheField>
    <cacheField name="OrderDate" numFmtId="14">
      <sharedItems containsSemiMixedTypes="0" containsNonDate="0" containsDate="1" containsString="0" minDate="2024-01-01T00:00:00" maxDate="2025-01-01T00:00:00"/>
    </cacheField>
    <cacheField name="Order_month" numFmtId="14">
      <sharedItems count="12">
        <s v="November"/>
        <s v="January"/>
        <s v="August"/>
        <s v="September"/>
        <s v="December"/>
        <s v="October"/>
        <s v="July"/>
        <s v="March"/>
        <s v="April"/>
        <s v="May"/>
        <s v="February"/>
        <s v="June"/>
      </sharedItems>
    </cacheField>
    <cacheField name="Category" numFmtId="0">
      <sharedItems count="5">
        <s v="Home"/>
        <s v="Fashion"/>
        <s v="Books"/>
        <s v="Electronics"/>
        <s v="Beauty"/>
      </sharedItems>
    </cacheField>
    <cacheField name="Product" numFmtId="0">
      <sharedItems count="25">
        <s v="Wall Clock"/>
        <s v="T-Shirt"/>
        <s v="Notebook"/>
        <s v="Novel"/>
        <s v="Phone Cover"/>
        <s v="Hair Oil"/>
        <s v="Face Wash"/>
        <s v="Comic"/>
        <s v="Sunscreen"/>
        <s v="Handbag"/>
        <s v="Jeans"/>
        <s v="Kurti"/>
        <s v="Power Bank"/>
        <s v="Bluetooth Speaker"/>
        <s v="Earbuds"/>
        <s v="Curtain"/>
        <s v="Table Lamp"/>
        <s v="Bedsheet"/>
        <s v="Sneakers"/>
        <s v="Guide Book"/>
        <s v="Diary"/>
        <s v="Smartwatch"/>
        <s v="Perfume"/>
        <s v="Cushion"/>
        <s v="Lipstick"/>
      </sharedItems>
    </cacheField>
    <cacheField name="State" numFmtId="0">
      <sharedItems count="8">
        <s v="West Bengal"/>
        <s v="Tamil Nadu"/>
        <s v="Delhi"/>
        <s v="Rajasthan"/>
        <s v="Karnataka"/>
        <s v="Maharashtra"/>
        <s v="Up"/>
        <s v="Gujarat"/>
      </sharedItems>
    </cacheField>
    <cacheField name="Quantity" numFmtId="0">
      <sharedItems containsSemiMixedTypes="0" containsString="0" containsNumber="1" containsInteger="1" minValue="1" maxValue="6"/>
    </cacheField>
    <cacheField name="UnitPrice" numFmtId="0">
      <sharedItems containsSemiMixedTypes="0" containsString="0" containsNumber="1" minValue="170.53" maxValue="7995.38"/>
    </cacheField>
    <cacheField name="Discount%" numFmtId="10">
      <sharedItems containsSemiMixedTypes="0" containsString="0" containsNumber="1" minValue="0" maxValue="0.25"/>
    </cacheField>
    <cacheField name="OrderStatus" numFmtId="0">
      <sharedItems count="4">
        <s v="Delivered"/>
        <s v="Pending"/>
        <s v="Returned"/>
        <s v="Cancelled"/>
      </sharedItems>
    </cacheField>
    <cacheField name="PaymentMode" numFmtId="0">
      <sharedItems count="5">
        <s v="COD"/>
        <s v="Credit Card"/>
        <s v="Debit Card"/>
        <s v="UPI"/>
        <s v="Wallet"/>
      </sharedItems>
    </cacheField>
    <cacheField name="Channel" numFmtId="0">
      <sharedItems count="2">
        <s v="Website"/>
        <s v="Mobile App"/>
      </sharedItems>
    </cacheField>
    <cacheField name="OrderAmount" numFmtId="0">
      <sharedItems containsSemiMixedTypes="0" containsString="0" containsNumber="1" minValue="144.94999999999999" maxValue="44565.78"/>
    </cacheField>
    <cacheField name="Sales bucket" numFmtId="0">
      <sharedItems count="3">
        <s v="Low"/>
        <s v="High"/>
        <s v="Medium"/>
      </sharedItems>
    </cacheField>
  </cacheFields>
  <extLst>
    <ext xmlns:x14="http://schemas.microsoft.com/office/spreadsheetml/2009/9/main" uri="{725AE2AE-9491-48be-B2B4-4EB974FC3084}">
      <x14:pivotCacheDefinition pivotCacheId="19041788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0">
  <r>
    <s v="OD20001"/>
    <d v="2024-11-29T00:00:00"/>
    <x v="0"/>
    <x v="0"/>
    <x v="0"/>
    <x v="0"/>
    <n v="1"/>
    <n v="718.62"/>
    <n v="0"/>
    <x v="0"/>
    <x v="0"/>
    <x v="0"/>
    <n v="718.62"/>
    <x v="0"/>
  </r>
  <r>
    <s v="OD20002"/>
    <d v="2024-01-31T00:00:00"/>
    <x v="1"/>
    <x v="1"/>
    <x v="1"/>
    <x v="0"/>
    <n v="5"/>
    <n v="1121.8499999999999"/>
    <n v="0.1"/>
    <x v="1"/>
    <x v="1"/>
    <x v="0"/>
    <n v="5048.32"/>
    <x v="0"/>
  </r>
  <r>
    <s v="OD20003"/>
    <d v="2024-08-02T00:00:00"/>
    <x v="2"/>
    <x v="2"/>
    <x v="2"/>
    <x v="1"/>
    <n v="2"/>
    <n v="4394.38"/>
    <n v="0.1"/>
    <x v="2"/>
    <x v="2"/>
    <x v="0"/>
    <n v="7909.88"/>
    <x v="0"/>
  </r>
  <r>
    <s v="OD20004"/>
    <d v="2024-11-12T00:00:00"/>
    <x v="0"/>
    <x v="2"/>
    <x v="3"/>
    <x v="2"/>
    <n v="2"/>
    <n v="4046.85"/>
    <n v="0.2"/>
    <x v="0"/>
    <x v="1"/>
    <x v="1"/>
    <n v="6474.96"/>
    <x v="0"/>
  </r>
  <r>
    <s v="OD20005"/>
    <d v="2024-09-25T00:00:00"/>
    <x v="3"/>
    <x v="3"/>
    <x v="4"/>
    <x v="1"/>
    <n v="4"/>
    <n v="7019.83"/>
    <n v="0.25"/>
    <x v="0"/>
    <x v="2"/>
    <x v="1"/>
    <n v="21059.49"/>
    <x v="1"/>
  </r>
  <r>
    <s v="OD20006"/>
    <d v="2024-12-08T00:00:00"/>
    <x v="4"/>
    <x v="4"/>
    <x v="5"/>
    <x v="2"/>
    <n v="1"/>
    <n v="6151.88"/>
    <n v="0.15"/>
    <x v="0"/>
    <x v="3"/>
    <x v="1"/>
    <n v="5229.1000000000004"/>
    <x v="0"/>
  </r>
  <r>
    <s v="OD20007"/>
    <d v="2024-12-25T00:00:00"/>
    <x v="4"/>
    <x v="4"/>
    <x v="6"/>
    <x v="2"/>
    <n v="3"/>
    <n v="5229.96"/>
    <n v="0.25"/>
    <x v="0"/>
    <x v="2"/>
    <x v="1"/>
    <n v="11767.41"/>
    <x v="2"/>
  </r>
  <r>
    <s v="OD20008"/>
    <d v="2024-01-31T00:00:00"/>
    <x v="1"/>
    <x v="2"/>
    <x v="3"/>
    <x v="3"/>
    <n v="2"/>
    <n v="6180.63"/>
    <n v="0.05"/>
    <x v="1"/>
    <x v="0"/>
    <x v="1"/>
    <n v="11743.2"/>
    <x v="2"/>
  </r>
  <r>
    <s v="OD20009"/>
    <d v="2024-08-08T00:00:00"/>
    <x v="2"/>
    <x v="2"/>
    <x v="7"/>
    <x v="4"/>
    <n v="5"/>
    <n v="2335.61"/>
    <n v="0.2"/>
    <x v="0"/>
    <x v="1"/>
    <x v="1"/>
    <n v="9342.44"/>
    <x v="0"/>
  </r>
  <r>
    <s v="OD20010"/>
    <d v="2024-10-28T00:00:00"/>
    <x v="5"/>
    <x v="1"/>
    <x v="1"/>
    <x v="3"/>
    <n v="2"/>
    <n v="2212.56"/>
    <n v="0"/>
    <x v="0"/>
    <x v="4"/>
    <x v="0"/>
    <n v="4425.12"/>
    <x v="0"/>
  </r>
  <r>
    <s v="OD20011"/>
    <d v="2024-07-22T00:00:00"/>
    <x v="6"/>
    <x v="4"/>
    <x v="8"/>
    <x v="0"/>
    <n v="4"/>
    <n v="3243.84"/>
    <n v="0.25"/>
    <x v="1"/>
    <x v="3"/>
    <x v="1"/>
    <n v="9731.52"/>
    <x v="0"/>
  </r>
  <r>
    <s v="OD20012"/>
    <d v="2024-01-01T00:00:00"/>
    <x v="1"/>
    <x v="2"/>
    <x v="3"/>
    <x v="5"/>
    <n v="5"/>
    <n v="1337.43"/>
    <n v="0"/>
    <x v="0"/>
    <x v="2"/>
    <x v="1"/>
    <n v="6687.15"/>
    <x v="0"/>
  </r>
  <r>
    <s v="OD20013"/>
    <d v="2024-03-03T00:00:00"/>
    <x v="7"/>
    <x v="2"/>
    <x v="7"/>
    <x v="3"/>
    <n v="1"/>
    <n v="6814.15"/>
    <n v="0.25"/>
    <x v="3"/>
    <x v="2"/>
    <x v="1"/>
    <n v="5110.6099999999997"/>
    <x v="0"/>
  </r>
  <r>
    <s v="OD20014"/>
    <d v="2024-04-15T00:00:00"/>
    <x v="8"/>
    <x v="1"/>
    <x v="9"/>
    <x v="2"/>
    <n v="5"/>
    <n v="2989.76"/>
    <n v="0"/>
    <x v="2"/>
    <x v="4"/>
    <x v="1"/>
    <n v="14948.8"/>
    <x v="2"/>
  </r>
  <r>
    <s v="OD20015"/>
    <d v="2024-09-29T00:00:00"/>
    <x v="3"/>
    <x v="1"/>
    <x v="10"/>
    <x v="6"/>
    <n v="5"/>
    <n v="6265.58"/>
    <n v="0.15"/>
    <x v="1"/>
    <x v="1"/>
    <x v="1"/>
    <n v="26628.720000000001"/>
    <x v="1"/>
  </r>
  <r>
    <s v="OD20016"/>
    <d v="2024-07-01T00:00:00"/>
    <x v="6"/>
    <x v="1"/>
    <x v="11"/>
    <x v="3"/>
    <n v="6"/>
    <n v="377.49"/>
    <n v="0"/>
    <x v="0"/>
    <x v="2"/>
    <x v="1"/>
    <n v="2264.94"/>
    <x v="0"/>
  </r>
  <r>
    <s v="OD20017"/>
    <d v="2024-04-26T00:00:00"/>
    <x v="8"/>
    <x v="3"/>
    <x v="12"/>
    <x v="5"/>
    <n v="4"/>
    <n v="1694.14"/>
    <n v="0.1"/>
    <x v="3"/>
    <x v="2"/>
    <x v="0"/>
    <n v="6098.9"/>
    <x v="0"/>
  </r>
  <r>
    <s v="OD20018"/>
    <d v="2024-09-01T00:00:00"/>
    <x v="3"/>
    <x v="3"/>
    <x v="13"/>
    <x v="6"/>
    <n v="2"/>
    <n v="3556.31"/>
    <n v="0.15"/>
    <x v="0"/>
    <x v="3"/>
    <x v="1"/>
    <n v="6045.73"/>
    <x v="0"/>
  </r>
  <r>
    <s v="OD20019"/>
    <d v="2024-03-18T00:00:00"/>
    <x v="7"/>
    <x v="1"/>
    <x v="11"/>
    <x v="2"/>
    <n v="5"/>
    <n v="7253.09"/>
    <n v="0.05"/>
    <x v="2"/>
    <x v="4"/>
    <x v="1"/>
    <n v="34452.18"/>
    <x v="1"/>
  </r>
  <r>
    <s v="OD20020"/>
    <d v="2024-09-26T00:00:00"/>
    <x v="3"/>
    <x v="3"/>
    <x v="14"/>
    <x v="5"/>
    <n v="6"/>
    <n v="7478.95"/>
    <n v="0.2"/>
    <x v="0"/>
    <x v="1"/>
    <x v="1"/>
    <n v="35898.959999999999"/>
    <x v="1"/>
  </r>
  <r>
    <s v="OD20021"/>
    <d v="2024-03-08T00:00:00"/>
    <x v="7"/>
    <x v="0"/>
    <x v="15"/>
    <x v="0"/>
    <n v="1"/>
    <n v="7293.63"/>
    <n v="0.15"/>
    <x v="3"/>
    <x v="4"/>
    <x v="1"/>
    <n v="6199.59"/>
    <x v="0"/>
  </r>
  <r>
    <s v="OD20022"/>
    <d v="2024-08-13T00:00:00"/>
    <x v="2"/>
    <x v="2"/>
    <x v="2"/>
    <x v="2"/>
    <n v="2"/>
    <n v="4927.1499999999996"/>
    <n v="0.05"/>
    <x v="0"/>
    <x v="4"/>
    <x v="1"/>
    <n v="9361.58"/>
    <x v="0"/>
  </r>
  <r>
    <s v="OD20023"/>
    <d v="2024-05-07T00:00:00"/>
    <x v="9"/>
    <x v="3"/>
    <x v="4"/>
    <x v="2"/>
    <n v="2"/>
    <n v="2323.8000000000002"/>
    <n v="0"/>
    <x v="2"/>
    <x v="2"/>
    <x v="1"/>
    <n v="4647.6000000000004"/>
    <x v="0"/>
  </r>
  <r>
    <s v="OD20024"/>
    <d v="2024-09-16T00:00:00"/>
    <x v="3"/>
    <x v="0"/>
    <x v="16"/>
    <x v="3"/>
    <n v="2"/>
    <n v="5638.86"/>
    <n v="0.1"/>
    <x v="2"/>
    <x v="0"/>
    <x v="1"/>
    <n v="10149.950000000001"/>
    <x v="2"/>
  </r>
  <r>
    <s v="OD20025"/>
    <d v="2024-08-07T00:00:00"/>
    <x v="2"/>
    <x v="0"/>
    <x v="17"/>
    <x v="6"/>
    <n v="1"/>
    <n v="1819.61"/>
    <n v="0.1"/>
    <x v="0"/>
    <x v="1"/>
    <x v="1"/>
    <n v="1637.65"/>
    <x v="0"/>
  </r>
  <r>
    <s v="OD20026"/>
    <d v="2024-02-18T00:00:00"/>
    <x v="10"/>
    <x v="1"/>
    <x v="18"/>
    <x v="6"/>
    <n v="4"/>
    <n v="7096.72"/>
    <n v="0.05"/>
    <x v="1"/>
    <x v="2"/>
    <x v="1"/>
    <n v="26967.54"/>
    <x v="1"/>
  </r>
  <r>
    <s v="OD20027"/>
    <d v="2024-02-17T00:00:00"/>
    <x v="10"/>
    <x v="1"/>
    <x v="10"/>
    <x v="7"/>
    <n v="6"/>
    <n v="3022.73"/>
    <n v="0.15"/>
    <x v="2"/>
    <x v="2"/>
    <x v="0"/>
    <n v="15415.92"/>
    <x v="2"/>
  </r>
  <r>
    <s v="OD20028"/>
    <d v="2024-02-13T00:00:00"/>
    <x v="10"/>
    <x v="3"/>
    <x v="12"/>
    <x v="5"/>
    <n v="3"/>
    <n v="2284.58"/>
    <n v="0.05"/>
    <x v="0"/>
    <x v="2"/>
    <x v="1"/>
    <n v="6511.05"/>
    <x v="0"/>
  </r>
  <r>
    <s v="OD20029"/>
    <d v="2024-12-24T00:00:00"/>
    <x v="4"/>
    <x v="1"/>
    <x v="9"/>
    <x v="3"/>
    <n v="3"/>
    <n v="852.28"/>
    <n v="0"/>
    <x v="1"/>
    <x v="3"/>
    <x v="1"/>
    <n v="2556.84"/>
    <x v="0"/>
  </r>
  <r>
    <s v="OD20030"/>
    <d v="2024-02-04T00:00:00"/>
    <x v="10"/>
    <x v="3"/>
    <x v="4"/>
    <x v="6"/>
    <n v="3"/>
    <n v="6922.78"/>
    <n v="0.25"/>
    <x v="0"/>
    <x v="1"/>
    <x v="0"/>
    <n v="15576.26"/>
    <x v="2"/>
  </r>
  <r>
    <s v="OD20031"/>
    <d v="2024-03-23T00:00:00"/>
    <x v="7"/>
    <x v="2"/>
    <x v="2"/>
    <x v="5"/>
    <n v="3"/>
    <n v="545.48"/>
    <n v="0.1"/>
    <x v="0"/>
    <x v="1"/>
    <x v="1"/>
    <n v="1472.8"/>
    <x v="0"/>
  </r>
  <r>
    <s v="OD20032"/>
    <d v="2024-01-19T00:00:00"/>
    <x v="1"/>
    <x v="0"/>
    <x v="17"/>
    <x v="1"/>
    <n v="1"/>
    <n v="294.70999999999998"/>
    <n v="0.1"/>
    <x v="2"/>
    <x v="0"/>
    <x v="1"/>
    <n v="265.24"/>
    <x v="0"/>
  </r>
  <r>
    <s v="OD20033"/>
    <d v="2024-12-18T00:00:00"/>
    <x v="4"/>
    <x v="2"/>
    <x v="19"/>
    <x v="1"/>
    <n v="2"/>
    <n v="7862.16"/>
    <n v="0.15"/>
    <x v="0"/>
    <x v="2"/>
    <x v="0"/>
    <n v="13365.67"/>
    <x v="2"/>
  </r>
  <r>
    <s v="OD20034"/>
    <d v="2024-11-16T00:00:00"/>
    <x v="0"/>
    <x v="1"/>
    <x v="1"/>
    <x v="5"/>
    <n v="6"/>
    <n v="7056.86"/>
    <n v="0.2"/>
    <x v="0"/>
    <x v="2"/>
    <x v="1"/>
    <n v="33872.93"/>
    <x v="1"/>
  </r>
  <r>
    <s v="OD20035"/>
    <d v="2024-04-04T00:00:00"/>
    <x v="8"/>
    <x v="0"/>
    <x v="17"/>
    <x v="3"/>
    <n v="2"/>
    <n v="2261.94"/>
    <n v="0"/>
    <x v="0"/>
    <x v="3"/>
    <x v="1"/>
    <n v="4523.88"/>
    <x v="0"/>
  </r>
  <r>
    <s v="OD20036"/>
    <d v="2024-01-01T00:00:00"/>
    <x v="1"/>
    <x v="1"/>
    <x v="10"/>
    <x v="4"/>
    <n v="3"/>
    <n v="3145.77"/>
    <n v="0.25"/>
    <x v="0"/>
    <x v="2"/>
    <x v="0"/>
    <n v="9437.06"/>
    <x v="0"/>
  </r>
  <r>
    <s v="OD20037"/>
    <d v="2024-07-20T00:00:00"/>
    <x v="6"/>
    <x v="1"/>
    <x v="18"/>
    <x v="2"/>
    <n v="1"/>
    <n v="2502.2199999999998"/>
    <n v="0.1"/>
    <x v="0"/>
    <x v="4"/>
    <x v="1"/>
    <n v="2252"/>
    <x v="0"/>
  </r>
  <r>
    <s v="OD20038"/>
    <d v="2024-05-25T00:00:00"/>
    <x v="9"/>
    <x v="0"/>
    <x v="16"/>
    <x v="4"/>
    <n v="6"/>
    <n v="5006.8500000000004"/>
    <n v="0.05"/>
    <x v="0"/>
    <x v="4"/>
    <x v="1"/>
    <n v="28539.05"/>
    <x v="1"/>
  </r>
  <r>
    <s v="OD20039"/>
    <d v="2024-12-17T00:00:00"/>
    <x v="4"/>
    <x v="2"/>
    <x v="20"/>
    <x v="2"/>
    <n v="5"/>
    <n v="6414.04"/>
    <n v="0.1"/>
    <x v="0"/>
    <x v="0"/>
    <x v="0"/>
    <n v="28863.18"/>
    <x v="1"/>
  </r>
  <r>
    <s v="OD20040"/>
    <d v="2024-09-07T00:00:00"/>
    <x v="3"/>
    <x v="3"/>
    <x v="4"/>
    <x v="6"/>
    <n v="3"/>
    <n v="176.02"/>
    <n v="0"/>
    <x v="1"/>
    <x v="0"/>
    <x v="1"/>
    <n v="528.05999999999995"/>
    <x v="0"/>
  </r>
  <r>
    <s v="OD20041"/>
    <d v="2024-04-15T00:00:00"/>
    <x v="8"/>
    <x v="3"/>
    <x v="21"/>
    <x v="6"/>
    <n v="2"/>
    <n v="5957.65"/>
    <n v="0.25"/>
    <x v="3"/>
    <x v="3"/>
    <x v="1"/>
    <n v="8936.4699999999993"/>
    <x v="0"/>
  </r>
  <r>
    <s v="OD20042"/>
    <d v="2024-06-18T00:00:00"/>
    <x v="11"/>
    <x v="3"/>
    <x v="4"/>
    <x v="4"/>
    <n v="3"/>
    <n v="5264.54"/>
    <n v="0.1"/>
    <x v="2"/>
    <x v="3"/>
    <x v="1"/>
    <n v="14214.26"/>
    <x v="2"/>
  </r>
  <r>
    <s v="OD20043"/>
    <d v="2024-08-25T00:00:00"/>
    <x v="2"/>
    <x v="4"/>
    <x v="22"/>
    <x v="1"/>
    <n v="4"/>
    <n v="3810.76"/>
    <n v="0"/>
    <x v="2"/>
    <x v="0"/>
    <x v="0"/>
    <n v="15243.04"/>
    <x v="2"/>
  </r>
  <r>
    <s v="OD20044"/>
    <d v="2024-07-17T00:00:00"/>
    <x v="6"/>
    <x v="2"/>
    <x v="19"/>
    <x v="1"/>
    <n v="2"/>
    <n v="7344.96"/>
    <n v="0.1"/>
    <x v="0"/>
    <x v="1"/>
    <x v="1"/>
    <n v="13220.93"/>
    <x v="2"/>
  </r>
  <r>
    <s v="OD20045"/>
    <d v="2024-09-11T00:00:00"/>
    <x v="3"/>
    <x v="3"/>
    <x v="21"/>
    <x v="6"/>
    <n v="4"/>
    <n v="3243.53"/>
    <n v="0.05"/>
    <x v="0"/>
    <x v="0"/>
    <x v="1"/>
    <n v="12325.41"/>
    <x v="2"/>
  </r>
  <r>
    <s v="OD20046"/>
    <d v="2024-06-18T00:00:00"/>
    <x v="11"/>
    <x v="4"/>
    <x v="22"/>
    <x v="5"/>
    <n v="1"/>
    <n v="2697.7"/>
    <n v="0.15"/>
    <x v="3"/>
    <x v="2"/>
    <x v="1"/>
    <n v="2293.04"/>
    <x v="0"/>
  </r>
  <r>
    <s v="OD20047"/>
    <d v="2024-07-18T00:00:00"/>
    <x v="6"/>
    <x v="0"/>
    <x v="17"/>
    <x v="0"/>
    <n v="5"/>
    <n v="749.75"/>
    <n v="0.2"/>
    <x v="0"/>
    <x v="1"/>
    <x v="1"/>
    <n v="2999"/>
    <x v="0"/>
  </r>
  <r>
    <s v="OD20048"/>
    <d v="2024-04-07T00:00:00"/>
    <x v="8"/>
    <x v="0"/>
    <x v="16"/>
    <x v="7"/>
    <n v="3"/>
    <n v="6313.37"/>
    <n v="0.2"/>
    <x v="0"/>
    <x v="4"/>
    <x v="1"/>
    <n v="15152.09"/>
    <x v="2"/>
  </r>
  <r>
    <s v="OD20049"/>
    <d v="2024-08-18T00:00:00"/>
    <x v="2"/>
    <x v="3"/>
    <x v="14"/>
    <x v="0"/>
    <n v="5"/>
    <n v="6058.44"/>
    <n v="0.1"/>
    <x v="3"/>
    <x v="2"/>
    <x v="1"/>
    <n v="27262.98"/>
    <x v="1"/>
  </r>
  <r>
    <s v="OD20050"/>
    <d v="2024-07-26T00:00:00"/>
    <x v="6"/>
    <x v="0"/>
    <x v="23"/>
    <x v="1"/>
    <n v="6"/>
    <n v="2023.52"/>
    <n v="0.25"/>
    <x v="2"/>
    <x v="4"/>
    <x v="1"/>
    <n v="9105.84"/>
    <x v="0"/>
  </r>
  <r>
    <s v="OD20051"/>
    <d v="2024-06-19T00:00:00"/>
    <x v="11"/>
    <x v="2"/>
    <x v="2"/>
    <x v="3"/>
    <n v="4"/>
    <n v="3505.27"/>
    <n v="0.1"/>
    <x v="0"/>
    <x v="2"/>
    <x v="1"/>
    <n v="12618.97"/>
    <x v="2"/>
  </r>
  <r>
    <s v="OD20052"/>
    <d v="2024-07-30T00:00:00"/>
    <x v="6"/>
    <x v="3"/>
    <x v="13"/>
    <x v="0"/>
    <n v="6"/>
    <n v="4264.72"/>
    <n v="0.2"/>
    <x v="0"/>
    <x v="1"/>
    <x v="1"/>
    <n v="20470.66"/>
    <x v="1"/>
  </r>
  <r>
    <s v="OD20053"/>
    <d v="2024-07-15T00:00:00"/>
    <x v="6"/>
    <x v="3"/>
    <x v="21"/>
    <x v="6"/>
    <n v="4"/>
    <n v="5219.46"/>
    <n v="0.2"/>
    <x v="0"/>
    <x v="0"/>
    <x v="1"/>
    <n v="16702.27"/>
    <x v="2"/>
  </r>
  <r>
    <s v="OD20054"/>
    <d v="2024-09-27T00:00:00"/>
    <x v="3"/>
    <x v="3"/>
    <x v="14"/>
    <x v="0"/>
    <n v="4"/>
    <n v="7782.09"/>
    <n v="0.1"/>
    <x v="0"/>
    <x v="0"/>
    <x v="0"/>
    <n v="28015.52"/>
    <x v="1"/>
  </r>
  <r>
    <s v="OD20055"/>
    <d v="2024-03-05T00:00:00"/>
    <x v="7"/>
    <x v="2"/>
    <x v="3"/>
    <x v="2"/>
    <n v="2"/>
    <n v="4619.6499999999996"/>
    <n v="0"/>
    <x v="1"/>
    <x v="0"/>
    <x v="0"/>
    <n v="9239.2999999999993"/>
    <x v="0"/>
  </r>
  <r>
    <s v="OD20056"/>
    <d v="2024-09-25T00:00:00"/>
    <x v="3"/>
    <x v="3"/>
    <x v="14"/>
    <x v="1"/>
    <n v="5"/>
    <n v="1654.86"/>
    <n v="0.1"/>
    <x v="0"/>
    <x v="2"/>
    <x v="1"/>
    <n v="7446.87"/>
    <x v="0"/>
  </r>
  <r>
    <s v="OD20057"/>
    <d v="2024-10-07T00:00:00"/>
    <x v="5"/>
    <x v="1"/>
    <x v="18"/>
    <x v="6"/>
    <n v="2"/>
    <n v="379.85"/>
    <n v="0.2"/>
    <x v="1"/>
    <x v="0"/>
    <x v="0"/>
    <n v="607.76"/>
    <x v="0"/>
  </r>
  <r>
    <s v="OD20058"/>
    <d v="2024-07-08T00:00:00"/>
    <x v="6"/>
    <x v="0"/>
    <x v="0"/>
    <x v="0"/>
    <n v="2"/>
    <n v="4019.61"/>
    <n v="0.15"/>
    <x v="1"/>
    <x v="4"/>
    <x v="0"/>
    <n v="6833.34"/>
    <x v="0"/>
  </r>
  <r>
    <s v="OD20059"/>
    <d v="2024-06-08T00:00:00"/>
    <x v="11"/>
    <x v="1"/>
    <x v="18"/>
    <x v="6"/>
    <n v="2"/>
    <n v="1961.85"/>
    <n v="0.1"/>
    <x v="0"/>
    <x v="1"/>
    <x v="1"/>
    <n v="3531.33"/>
    <x v="0"/>
  </r>
  <r>
    <s v="OD20060"/>
    <d v="2024-10-31T00:00:00"/>
    <x v="5"/>
    <x v="4"/>
    <x v="5"/>
    <x v="2"/>
    <n v="2"/>
    <n v="7387.1"/>
    <n v="0"/>
    <x v="0"/>
    <x v="1"/>
    <x v="1"/>
    <n v="14774.2"/>
    <x v="2"/>
  </r>
  <r>
    <s v="OD20061"/>
    <d v="2024-02-10T00:00:00"/>
    <x v="10"/>
    <x v="4"/>
    <x v="22"/>
    <x v="5"/>
    <n v="2"/>
    <n v="2734.56"/>
    <n v="0.05"/>
    <x v="1"/>
    <x v="0"/>
    <x v="1"/>
    <n v="5195.66"/>
    <x v="0"/>
  </r>
  <r>
    <s v="OD20062"/>
    <d v="2024-02-25T00:00:00"/>
    <x v="10"/>
    <x v="0"/>
    <x v="16"/>
    <x v="4"/>
    <n v="1"/>
    <n v="764.2"/>
    <n v="0"/>
    <x v="0"/>
    <x v="0"/>
    <x v="1"/>
    <n v="764.2"/>
    <x v="0"/>
  </r>
  <r>
    <s v="OD20063"/>
    <d v="2024-01-26T00:00:00"/>
    <x v="1"/>
    <x v="0"/>
    <x v="16"/>
    <x v="5"/>
    <n v="6"/>
    <n v="3866.69"/>
    <n v="0.15"/>
    <x v="2"/>
    <x v="3"/>
    <x v="1"/>
    <n v="19720.12"/>
    <x v="2"/>
  </r>
  <r>
    <s v="OD20064"/>
    <d v="2024-07-11T00:00:00"/>
    <x v="6"/>
    <x v="1"/>
    <x v="18"/>
    <x v="2"/>
    <n v="1"/>
    <n v="3792.8"/>
    <n v="0"/>
    <x v="0"/>
    <x v="2"/>
    <x v="0"/>
    <n v="3792.8"/>
    <x v="0"/>
  </r>
  <r>
    <s v="OD20065"/>
    <d v="2024-06-01T00:00:00"/>
    <x v="11"/>
    <x v="0"/>
    <x v="23"/>
    <x v="1"/>
    <n v="1"/>
    <n v="5814.34"/>
    <n v="0"/>
    <x v="0"/>
    <x v="0"/>
    <x v="1"/>
    <n v="5814.34"/>
    <x v="0"/>
  </r>
  <r>
    <s v="OD20066"/>
    <d v="2024-09-11T00:00:00"/>
    <x v="3"/>
    <x v="4"/>
    <x v="5"/>
    <x v="4"/>
    <n v="2"/>
    <n v="218.34"/>
    <n v="0.1"/>
    <x v="1"/>
    <x v="2"/>
    <x v="0"/>
    <n v="393.01"/>
    <x v="0"/>
  </r>
  <r>
    <s v="OD20067"/>
    <d v="2024-03-22T00:00:00"/>
    <x v="7"/>
    <x v="2"/>
    <x v="2"/>
    <x v="0"/>
    <n v="2"/>
    <n v="3350.89"/>
    <n v="0"/>
    <x v="3"/>
    <x v="3"/>
    <x v="1"/>
    <n v="6701.78"/>
    <x v="0"/>
  </r>
  <r>
    <s v="OD20068"/>
    <d v="2024-02-19T00:00:00"/>
    <x v="10"/>
    <x v="2"/>
    <x v="3"/>
    <x v="6"/>
    <n v="4"/>
    <n v="4063.03"/>
    <n v="0.25"/>
    <x v="0"/>
    <x v="4"/>
    <x v="0"/>
    <n v="12189.09"/>
    <x v="2"/>
  </r>
  <r>
    <s v="OD20069"/>
    <d v="2024-10-17T00:00:00"/>
    <x v="5"/>
    <x v="0"/>
    <x v="23"/>
    <x v="1"/>
    <n v="3"/>
    <n v="3077.82"/>
    <n v="0.1"/>
    <x v="0"/>
    <x v="4"/>
    <x v="1"/>
    <n v="8310.11"/>
    <x v="0"/>
  </r>
  <r>
    <s v="OD20070"/>
    <d v="2024-05-08T00:00:00"/>
    <x v="9"/>
    <x v="0"/>
    <x v="17"/>
    <x v="0"/>
    <n v="2"/>
    <n v="4132.5"/>
    <n v="0.1"/>
    <x v="1"/>
    <x v="0"/>
    <x v="1"/>
    <n v="7438.5"/>
    <x v="0"/>
  </r>
  <r>
    <s v="OD20071"/>
    <d v="2024-05-30T00:00:00"/>
    <x v="9"/>
    <x v="4"/>
    <x v="22"/>
    <x v="2"/>
    <n v="2"/>
    <n v="1085.8499999999999"/>
    <n v="0.1"/>
    <x v="2"/>
    <x v="1"/>
    <x v="1"/>
    <n v="1954.53"/>
    <x v="0"/>
  </r>
  <r>
    <s v="OD20072"/>
    <d v="2024-02-24T00:00:00"/>
    <x v="10"/>
    <x v="2"/>
    <x v="7"/>
    <x v="2"/>
    <n v="6"/>
    <n v="4829.75"/>
    <n v="0.15"/>
    <x v="0"/>
    <x v="3"/>
    <x v="1"/>
    <n v="24631.72"/>
    <x v="1"/>
  </r>
  <r>
    <s v="OD20073"/>
    <d v="2024-12-13T00:00:00"/>
    <x v="4"/>
    <x v="3"/>
    <x v="21"/>
    <x v="0"/>
    <n v="3"/>
    <n v="1603.39"/>
    <n v="0.1"/>
    <x v="0"/>
    <x v="3"/>
    <x v="1"/>
    <n v="4329.1499999999996"/>
    <x v="0"/>
  </r>
  <r>
    <s v="OD20074"/>
    <d v="2024-11-30T00:00:00"/>
    <x v="0"/>
    <x v="2"/>
    <x v="2"/>
    <x v="5"/>
    <n v="2"/>
    <n v="3272.51"/>
    <n v="0.1"/>
    <x v="3"/>
    <x v="4"/>
    <x v="1"/>
    <n v="5890.52"/>
    <x v="0"/>
  </r>
  <r>
    <s v="OD20075"/>
    <d v="2024-07-05T00:00:00"/>
    <x v="6"/>
    <x v="4"/>
    <x v="5"/>
    <x v="2"/>
    <n v="6"/>
    <n v="1698.03"/>
    <n v="0.2"/>
    <x v="0"/>
    <x v="3"/>
    <x v="1"/>
    <n v="8150.54"/>
    <x v="0"/>
  </r>
  <r>
    <s v="OD20076"/>
    <d v="2024-03-24T00:00:00"/>
    <x v="7"/>
    <x v="2"/>
    <x v="7"/>
    <x v="3"/>
    <n v="2"/>
    <n v="266.45"/>
    <n v="0.05"/>
    <x v="1"/>
    <x v="4"/>
    <x v="1"/>
    <n v="506.25"/>
    <x v="0"/>
  </r>
  <r>
    <s v="OD20077"/>
    <d v="2024-03-23T00:00:00"/>
    <x v="7"/>
    <x v="1"/>
    <x v="10"/>
    <x v="1"/>
    <n v="5"/>
    <n v="1498.51"/>
    <n v="0"/>
    <x v="0"/>
    <x v="2"/>
    <x v="1"/>
    <n v="7492.55"/>
    <x v="0"/>
  </r>
  <r>
    <s v="OD20078"/>
    <d v="2024-01-28T00:00:00"/>
    <x v="1"/>
    <x v="3"/>
    <x v="13"/>
    <x v="7"/>
    <n v="5"/>
    <n v="7420.42"/>
    <n v="0.2"/>
    <x v="0"/>
    <x v="1"/>
    <x v="1"/>
    <n v="29681.68"/>
    <x v="1"/>
  </r>
  <r>
    <s v="OD20079"/>
    <d v="2024-04-03T00:00:00"/>
    <x v="8"/>
    <x v="2"/>
    <x v="2"/>
    <x v="3"/>
    <n v="5"/>
    <n v="1862.37"/>
    <n v="0.2"/>
    <x v="2"/>
    <x v="1"/>
    <x v="0"/>
    <n v="7449.48"/>
    <x v="0"/>
  </r>
  <r>
    <s v="OD20080"/>
    <d v="2024-03-01T00:00:00"/>
    <x v="7"/>
    <x v="2"/>
    <x v="3"/>
    <x v="7"/>
    <n v="4"/>
    <n v="4856.2299999999996"/>
    <n v="0.1"/>
    <x v="1"/>
    <x v="0"/>
    <x v="1"/>
    <n v="17482.43"/>
    <x v="2"/>
  </r>
  <r>
    <s v="OD20081"/>
    <d v="2024-11-12T00:00:00"/>
    <x v="0"/>
    <x v="1"/>
    <x v="1"/>
    <x v="2"/>
    <n v="4"/>
    <n v="3802.39"/>
    <n v="0.25"/>
    <x v="2"/>
    <x v="3"/>
    <x v="0"/>
    <n v="11407.17"/>
    <x v="2"/>
  </r>
  <r>
    <s v="OD20082"/>
    <d v="2024-07-06T00:00:00"/>
    <x v="6"/>
    <x v="1"/>
    <x v="10"/>
    <x v="0"/>
    <n v="1"/>
    <n v="6447.91"/>
    <n v="0"/>
    <x v="0"/>
    <x v="4"/>
    <x v="0"/>
    <n v="6447.91"/>
    <x v="0"/>
  </r>
  <r>
    <s v="OD20083"/>
    <d v="2024-11-30T00:00:00"/>
    <x v="0"/>
    <x v="3"/>
    <x v="4"/>
    <x v="0"/>
    <n v="2"/>
    <n v="352.97"/>
    <n v="0"/>
    <x v="2"/>
    <x v="0"/>
    <x v="1"/>
    <n v="705.94"/>
    <x v="0"/>
  </r>
  <r>
    <s v="OD20084"/>
    <d v="2024-06-28T00:00:00"/>
    <x v="11"/>
    <x v="1"/>
    <x v="11"/>
    <x v="5"/>
    <n v="5"/>
    <n v="6086.01"/>
    <n v="0.05"/>
    <x v="0"/>
    <x v="4"/>
    <x v="1"/>
    <n v="28908.55"/>
    <x v="1"/>
  </r>
  <r>
    <s v="OD20085"/>
    <d v="2024-11-11T00:00:00"/>
    <x v="0"/>
    <x v="1"/>
    <x v="9"/>
    <x v="1"/>
    <n v="5"/>
    <n v="2013.58"/>
    <n v="0.15"/>
    <x v="0"/>
    <x v="2"/>
    <x v="1"/>
    <n v="8557.7199999999993"/>
    <x v="0"/>
  </r>
  <r>
    <s v="OD20086"/>
    <d v="2024-09-28T00:00:00"/>
    <x v="3"/>
    <x v="1"/>
    <x v="10"/>
    <x v="5"/>
    <n v="1"/>
    <n v="5145.1000000000004"/>
    <n v="0.15"/>
    <x v="3"/>
    <x v="4"/>
    <x v="1"/>
    <n v="4373.34"/>
    <x v="0"/>
  </r>
  <r>
    <s v="OD20087"/>
    <d v="2024-07-07T00:00:00"/>
    <x v="6"/>
    <x v="0"/>
    <x v="23"/>
    <x v="0"/>
    <n v="5"/>
    <n v="1297.6300000000001"/>
    <n v="0.15"/>
    <x v="0"/>
    <x v="4"/>
    <x v="1"/>
    <n v="5514.93"/>
    <x v="0"/>
  </r>
  <r>
    <s v="OD20088"/>
    <d v="2024-01-01T00:00:00"/>
    <x v="1"/>
    <x v="0"/>
    <x v="15"/>
    <x v="7"/>
    <n v="6"/>
    <n v="415.28"/>
    <n v="0.05"/>
    <x v="0"/>
    <x v="1"/>
    <x v="1"/>
    <n v="2367.1"/>
    <x v="0"/>
  </r>
  <r>
    <s v="OD20089"/>
    <d v="2024-01-12T00:00:00"/>
    <x v="1"/>
    <x v="1"/>
    <x v="9"/>
    <x v="2"/>
    <n v="1"/>
    <n v="170.53"/>
    <n v="0.15"/>
    <x v="0"/>
    <x v="4"/>
    <x v="1"/>
    <n v="144.94999999999999"/>
    <x v="0"/>
  </r>
  <r>
    <s v="OD20090"/>
    <d v="2024-03-22T00:00:00"/>
    <x v="7"/>
    <x v="1"/>
    <x v="10"/>
    <x v="3"/>
    <n v="2"/>
    <n v="260.77999999999997"/>
    <n v="0.1"/>
    <x v="1"/>
    <x v="2"/>
    <x v="1"/>
    <n v="469.4"/>
    <x v="0"/>
  </r>
  <r>
    <s v="OD20091"/>
    <d v="2024-11-26T00:00:00"/>
    <x v="0"/>
    <x v="0"/>
    <x v="17"/>
    <x v="2"/>
    <n v="5"/>
    <n v="7157.51"/>
    <n v="0.25"/>
    <x v="2"/>
    <x v="3"/>
    <x v="0"/>
    <n v="26840.66"/>
    <x v="1"/>
  </r>
  <r>
    <s v="OD20092"/>
    <d v="2024-04-05T00:00:00"/>
    <x v="8"/>
    <x v="2"/>
    <x v="3"/>
    <x v="0"/>
    <n v="2"/>
    <n v="1399.85"/>
    <n v="0"/>
    <x v="0"/>
    <x v="4"/>
    <x v="1"/>
    <n v="2799.7"/>
    <x v="0"/>
  </r>
  <r>
    <s v="OD20093"/>
    <d v="2024-02-02T00:00:00"/>
    <x v="10"/>
    <x v="2"/>
    <x v="2"/>
    <x v="1"/>
    <n v="3"/>
    <n v="5063.82"/>
    <n v="0.25"/>
    <x v="1"/>
    <x v="3"/>
    <x v="1"/>
    <n v="11393.59"/>
    <x v="2"/>
  </r>
  <r>
    <s v="OD20094"/>
    <d v="2024-05-13T00:00:00"/>
    <x v="9"/>
    <x v="1"/>
    <x v="11"/>
    <x v="5"/>
    <n v="2"/>
    <n v="5205.5600000000004"/>
    <n v="0"/>
    <x v="0"/>
    <x v="3"/>
    <x v="1"/>
    <n v="10411.120000000001"/>
    <x v="2"/>
  </r>
  <r>
    <s v="OD20095"/>
    <d v="2024-05-31T00:00:00"/>
    <x v="9"/>
    <x v="2"/>
    <x v="19"/>
    <x v="1"/>
    <n v="6"/>
    <n v="7439.28"/>
    <n v="0.1"/>
    <x v="0"/>
    <x v="1"/>
    <x v="1"/>
    <n v="40172.11"/>
    <x v="1"/>
  </r>
  <r>
    <s v="OD20096"/>
    <d v="2024-06-17T00:00:00"/>
    <x v="11"/>
    <x v="0"/>
    <x v="0"/>
    <x v="0"/>
    <n v="5"/>
    <n v="2027.47"/>
    <n v="0.25"/>
    <x v="3"/>
    <x v="1"/>
    <x v="1"/>
    <n v="7603.01"/>
    <x v="0"/>
  </r>
  <r>
    <s v="OD20097"/>
    <d v="2024-10-16T00:00:00"/>
    <x v="5"/>
    <x v="1"/>
    <x v="18"/>
    <x v="5"/>
    <n v="2"/>
    <n v="1285.07"/>
    <n v="0"/>
    <x v="0"/>
    <x v="3"/>
    <x v="0"/>
    <n v="2570.14"/>
    <x v="0"/>
  </r>
  <r>
    <s v="OD20098"/>
    <d v="2024-12-22T00:00:00"/>
    <x v="4"/>
    <x v="3"/>
    <x v="12"/>
    <x v="2"/>
    <n v="1"/>
    <n v="5933.76"/>
    <n v="0"/>
    <x v="2"/>
    <x v="3"/>
    <x v="1"/>
    <n v="5933.76"/>
    <x v="0"/>
  </r>
  <r>
    <s v="OD20099"/>
    <d v="2024-04-14T00:00:00"/>
    <x v="8"/>
    <x v="3"/>
    <x v="12"/>
    <x v="6"/>
    <n v="1"/>
    <n v="415.81"/>
    <n v="0"/>
    <x v="1"/>
    <x v="1"/>
    <x v="1"/>
    <n v="415.81"/>
    <x v="0"/>
  </r>
  <r>
    <s v="OD20100"/>
    <d v="2024-05-13T00:00:00"/>
    <x v="9"/>
    <x v="0"/>
    <x v="23"/>
    <x v="0"/>
    <n v="1"/>
    <n v="2904.57"/>
    <n v="0.1"/>
    <x v="0"/>
    <x v="4"/>
    <x v="1"/>
    <n v="2614.11"/>
    <x v="0"/>
  </r>
  <r>
    <s v="OD20101"/>
    <d v="2024-07-30T00:00:00"/>
    <x v="6"/>
    <x v="0"/>
    <x v="15"/>
    <x v="2"/>
    <n v="1"/>
    <n v="3576.13"/>
    <n v="0"/>
    <x v="0"/>
    <x v="3"/>
    <x v="1"/>
    <n v="3576.13"/>
    <x v="0"/>
  </r>
  <r>
    <s v="OD20102"/>
    <d v="2024-09-25T00:00:00"/>
    <x v="3"/>
    <x v="1"/>
    <x v="18"/>
    <x v="2"/>
    <n v="2"/>
    <n v="2413.4299999999998"/>
    <n v="0"/>
    <x v="0"/>
    <x v="0"/>
    <x v="1"/>
    <n v="4826.8599999999997"/>
    <x v="0"/>
  </r>
  <r>
    <s v="OD20103"/>
    <d v="2024-05-25T00:00:00"/>
    <x v="9"/>
    <x v="2"/>
    <x v="7"/>
    <x v="4"/>
    <n v="2"/>
    <n v="7515.57"/>
    <n v="0.1"/>
    <x v="3"/>
    <x v="4"/>
    <x v="0"/>
    <n v="13528.03"/>
    <x v="2"/>
  </r>
  <r>
    <s v="OD20104"/>
    <d v="2024-07-24T00:00:00"/>
    <x v="6"/>
    <x v="0"/>
    <x v="23"/>
    <x v="5"/>
    <n v="4"/>
    <n v="7150.96"/>
    <n v="0"/>
    <x v="3"/>
    <x v="4"/>
    <x v="1"/>
    <n v="28603.84"/>
    <x v="1"/>
  </r>
  <r>
    <s v="OD20105"/>
    <d v="2024-03-05T00:00:00"/>
    <x v="7"/>
    <x v="4"/>
    <x v="24"/>
    <x v="3"/>
    <n v="5"/>
    <n v="4813.59"/>
    <n v="0"/>
    <x v="0"/>
    <x v="4"/>
    <x v="1"/>
    <n v="24067.95"/>
    <x v="1"/>
  </r>
  <r>
    <s v="OD20106"/>
    <d v="2024-12-18T00:00:00"/>
    <x v="4"/>
    <x v="1"/>
    <x v="18"/>
    <x v="3"/>
    <n v="3"/>
    <n v="4696.4799999999996"/>
    <n v="0.05"/>
    <x v="0"/>
    <x v="2"/>
    <x v="1"/>
    <n v="13384.97"/>
    <x v="2"/>
  </r>
  <r>
    <s v="OD20107"/>
    <d v="2024-11-04T00:00:00"/>
    <x v="0"/>
    <x v="1"/>
    <x v="11"/>
    <x v="7"/>
    <n v="5"/>
    <n v="2886.76"/>
    <n v="0.1"/>
    <x v="0"/>
    <x v="1"/>
    <x v="0"/>
    <n v="12990.42"/>
    <x v="2"/>
  </r>
  <r>
    <s v="OD20108"/>
    <d v="2024-03-16T00:00:00"/>
    <x v="7"/>
    <x v="1"/>
    <x v="18"/>
    <x v="4"/>
    <n v="3"/>
    <n v="5906.35"/>
    <n v="0.2"/>
    <x v="0"/>
    <x v="0"/>
    <x v="1"/>
    <n v="14175.24"/>
    <x v="2"/>
  </r>
  <r>
    <s v="OD20109"/>
    <d v="2024-08-11T00:00:00"/>
    <x v="2"/>
    <x v="3"/>
    <x v="14"/>
    <x v="0"/>
    <n v="6"/>
    <n v="1896.25"/>
    <n v="0.1"/>
    <x v="3"/>
    <x v="1"/>
    <x v="1"/>
    <n v="11377.4"/>
    <x v="2"/>
  </r>
  <r>
    <s v="OD20110"/>
    <d v="2024-04-27T00:00:00"/>
    <x v="8"/>
    <x v="2"/>
    <x v="20"/>
    <x v="0"/>
    <n v="6"/>
    <n v="5819.42"/>
    <n v="0.1"/>
    <x v="1"/>
    <x v="3"/>
    <x v="1"/>
    <n v="31424.87"/>
    <x v="1"/>
  </r>
  <r>
    <s v="OD20111"/>
    <d v="2024-05-08T00:00:00"/>
    <x v="9"/>
    <x v="1"/>
    <x v="18"/>
    <x v="4"/>
    <n v="4"/>
    <n v="3939.54"/>
    <n v="0"/>
    <x v="2"/>
    <x v="2"/>
    <x v="0"/>
    <n v="15758.16"/>
    <x v="2"/>
  </r>
  <r>
    <s v="OD20112"/>
    <d v="2024-01-20T00:00:00"/>
    <x v="1"/>
    <x v="4"/>
    <x v="5"/>
    <x v="5"/>
    <n v="3"/>
    <n v="4415.38"/>
    <n v="0.05"/>
    <x v="1"/>
    <x v="4"/>
    <x v="1"/>
    <n v="12583.83"/>
    <x v="2"/>
  </r>
  <r>
    <s v="OD20113"/>
    <d v="2024-09-19T00:00:00"/>
    <x v="3"/>
    <x v="2"/>
    <x v="2"/>
    <x v="3"/>
    <n v="1"/>
    <n v="5168.2"/>
    <n v="0.15"/>
    <x v="2"/>
    <x v="1"/>
    <x v="1"/>
    <n v="4392.97"/>
    <x v="0"/>
  </r>
  <r>
    <s v="OD20114"/>
    <d v="2024-11-22T00:00:00"/>
    <x v="0"/>
    <x v="2"/>
    <x v="3"/>
    <x v="7"/>
    <n v="1"/>
    <n v="2131.79"/>
    <n v="0.2"/>
    <x v="3"/>
    <x v="2"/>
    <x v="1"/>
    <n v="1705.43"/>
    <x v="0"/>
  </r>
  <r>
    <s v="OD20115"/>
    <d v="2024-07-24T00:00:00"/>
    <x v="6"/>
    <x v="3"/>
    <x v="12"/>
    <x v="1"/>
    <n v="5"/>
    <n v="7776.28"/>
    <n v="0.2"/>
    <x v="3"/>
    <x v="1"/>
    <x v="1"/>
    <n v="31105.119999999999"/>
    <x v="1"/>
  </r>
  <r>
    <s v="OD20116"/>
    <d v="2024-06-29T00:00:00"/>
    <x v="11"/>
    <x v="2"/>
    <x v="2"/>
    <x v="4"/>
    <n v="6"/>
    <n v="5164.55"/>
    <n v="0.2"/>
    <x v="3"/>
    <x v="0"/>
    <x v="1"/>
    <n v="24789.84"/>
    <x v="1"/>
  </r>
  <r>
    <s v="OD20117"/>
    <d v="2024-12-17T00:00:00"/>
    <x v="4"/>
    <x v="1"/>
    <x v="10"/>
    <x v="0"/>
    <n v="3"/>
    <n v="7865.69"/>
    <n v="0.05"/>
    <x v="3"/>
    <x v="2"/>
    <x v="1"/>
    <n v="22417.22"/>
    <x v="1"/>
  </r>
  <r>
    <s v="OD20118"/>
    <d v="2024-11-15T00:00:00"/>
    <x v="0"/>
    <x v="4"/>
    <x v="5"/>
    <x v="0"/>
    <n v="6"/>
    <n v="820.56"/>
    <n v="0.15"/>
    <x v="0"/>
    <x v="2"/>
    <x v="1"/>
    <n v="4184.8599999999997"/>
    <x v="0"/>
  </r>
  <r>
    <s v="OD20119"/>
    <d v="2024-12-02T00:00:00"/>
    <x v="4"/>
    <x v="2"/>
    <x v="7"/>
    <x v="2"/>
    <n v="1"/>
    <n v="1796.53"/>
    <n v="0"/>
    <x v="1"/>
    <x v="1"/>
    <x v="1"/>
    <n v="1796.53"/>
    <x v="0"/>
  </r>
  <r>
    <s v="OD20120"/>
    <d v="2024-07-25T00:00:00"/>
    <x v="6"/>
    <x v="0"/>
    <x v="0"/>
    <x v="6"/>
    <n v="5"/>
    <n v="1468.12"/>
    <n v="0"/>
    <x v="1"/>
    <x v="0"/>
    <x v="1"/>
    <n v="7340.6"/>
    <x v="0"/>
  </r>
  <r>
    <s v="OD20121"/>
    <d v="2024-12-09T00:00:00"/>
    <x v="4"/>
    <x v="2"/>
    <x v="3"/>
    <x v="3"/>
    <n v="1"/>
    <n v="4507.25"/>
    <n v="0.1"/>
    <x v="3"/>
    <x v="0"/>
    <x v="1"/>
    <n v="4056.53"/>
    <x v="0"/>
  </r>
  <r>
    <s v="OD20122"/>
    <d v="2024-03-25T00:00:00"/>
    <x v="7"/>
    <x v="4"/>
    <x v="24"/>
    <x v="3"/>
    <n v="5"/>
    <n v="4856.87"/>
    <n v="0"/>
    <x v="0"/>
    <x v="0"/>
    <x v="1"/>
    <n v="24284.35"/>
    <x v="1"/>
  </r>
  <r>
    <s v="OD20123"/>
    <d v="2024-04-02T00:00:00"/>
    <x v="8"/>
    <x v="4"/>
    <x v="5"/>
    <x v="5"/>
    <n v="6"/>
    <n v="2978.95"/>
    <n v="0"/>
    <x v="0"/>
    <x v="3"/>
    <x v="1"/>
    <n v="17873.7"/>
    <x v="2"/>
  </r>
  <r>
    <s v="OD20124"/>
    <d v="2024-04-19T00:00:00"/>
    <x v="8"/>
    <x v="4"/>
    <x v="24"/>
    <x v="2"/>
    <n v="6"/>
    <n v="3412.39"/>
    <n v="0.05"/>
    <x v="0"/>
    <x v="4"/>
    <x v="1"/>
    <n v="19450.62"/>
    <x v="2"/>
  </r>
  <r>
    <s v="OD20125"/>
    <d v="2024-08-04T00:00:00"/>
    <x v="2"/>
    <x v="0"/>
    <x v="16"/>
    <x v="7"/>
    <n v="3"/>
    <n v="4499.12"/>
    <n v="0.1"/>
    <x v="0"/>
    <x v="4"/>
    <x v="1"/>
    <n v="12147.62"/>
    <x v="2"/>
  </r>
  <r>
    <s v="OD20126"/>
    <d v="2024-06-18T00:00:00"/>
    <x v="11"/>
    <x v="1"/>
    <x v="18"/>
    <x v="5"/>
    <n v="2"/>
    <n v="2639.19"/>
    <n v="0.1"/>
    <x v="0"/>
    <x v="4"/>
    <x v="1"/>
    <n v="4750.54"/>
    <x v="0"/>
  </r>
  <r>
    <s v="OD20127"/>
    <d v="2024-07-23T00:00:00"/>
    <x v="6"/>
    <x v="2"/>
    <x v="20"/>
    <x v="2"/>
    <n v="3"/>
    <n v="1001.73"/>
    <n v="0"/>
    <x v="0"/>
    <x v="4"/>
    <x v="1"/>
    <n v="3005.19"/>
    <x v="0"/>
  </r>
  <r>
    <s v="OD20128"/>
    <d v="2024-04-18T00:00:00"/>
    <x v="8"/>
    <x v="2"/>
    <x v="2"/>
    <x v="5"/>
    <n v="1"/>
    <n v="5385.97"/>
    <n v="0.25"/>
    <x v="1"/>
    <x v="3"/>
    <x v="0"/>
    <n v="4039.48"/>
    <x v="0"/>
  </r>
  <r>
    <s v="OD20129"/>
    <d v="2024-10-14T00:00:00"/>
    <x v="5"/>
    <x v="0"/>
    <x v="0"/>
    <x v="1"/>
    <n v="6"/>
    <n v="2175.3200000000002"/>
    <n v="0.1"/>
    <x v="0"/>
    <x v="3"/>
    <x v="1"/>
    <n v="11746.73"/>
    <x v="2"/>
  </r>
  <r>
    <s v="OD20130"/>
    <d v="2024-03-01T00:00:00"/>
    <x v="7"/>
    <x v="2"/>
    <x v="20"/>
    <x v="2"/>
    <n v="4"/>
    <n v="4666.2700000000004"/>
    <n v="0.2"/>
    <x v="3"/>
    <x v="1"/>
    <x v="1"/>
    <n v="14932.06"/>
    <x v="2"/>
  </r>
  <r>
    <s v="OD20131"/>
    <d v="2024-02-12T00:00:00"/>
    <x v="10"/>
    <x v="4"/>
    <x v="8"/>
    <x v="5"/>
    <n v="6"/>
    <n v="3856.71"/>
    <n v="0.05"/>
    <x v="1"/>
    <x v="3"/>
    <x v="1"/>
    <n v="21983.25"/>
    <x v="1"/>
  </r>
  <r>
    <s v="OD20132"/>
    <d v="2024-01-10T00:00:00"/>
    <x v="1"/>
    <x v="3"/>
    <x v="12"/>
    <x v="3"/>
    <n v="3"/>
    <n v="5796.91"/>
    <n v="0.1"/>
    <x v="3"/>
    <x v="1"/>
    <x v="0"/>
    <n v="15651.66"/>
    <x v="2"/>
  </r>
  <r>
    <s v="OD20133"/>
    <d v="2024-08-23T00:00:00"/>
    <x v="2"/>
    <x v="0"/>
    <x v="15"/>
    <x v="3"/>
    <n v="6"/>
    <n v="7468.92"/>
    <n v="0.1"/>
    <x v="0"/>
    <x v="4"/>
    <x v="0"/>
    <n v="40332.17"/>
    <x v="1"/>
  </r>
  <r>
    <s v="OD20134"/>
    <d v="2024-11-03T00:00:00"/>
    <x v="0"/>
    <x v="4"/>
    <x v="22"/>
    <x v="1"/>
    <n v="2"/>
    <n v="7667.94"/>
    <n v="0.25"/>
    <x v="2"/>
    <x v="1"/>
    <x v="1"/>
    <n v="11501.91"/>
    <x v="2"/>
  </r>
  <r>
    <s v="OD20135"/>
    <d v="2024-11-18T00:00:00"/>
    <x v="0"/>
    <x v="3"/>
    <x v="21"/>
    <x v="4"/>
    <n v="4"/>
    <n v="3894.15"/>
    <n v="0.25"/>
    <x v="0"/>
    <x v="4"/>
    <x v="1"/>
    <n v="11682.45"/>
    <x v="2"/>
  </r>
  <r>
    <s v="OD20136"/>
    <d v="2024-11-03T00:00:00"/>
    <x v="0"/>
    <x v="2"/>
    <x v="3"/>
    <x v="4"/>
    <n v="3"/>
    <n v="4739.6499999999996"/>
    <n v="0.1"/>
    <x v="3"/>
    <x v="0"/>
    <x v="1"/>
    <n v="12797.05"/>
    <x v="2"/>
  </r>
  <r>
    <s v="OD20137"/>
    <d v="2024-05-17T00:00:00"/>
    <x v="9"/>
    <x v="3"/>
    <x v="21"/>
    <x v="1"/>
    <n v="4"/>
    <n v="1384.65"/>
    <n v="0"/>
    <x v="0"/>
    <x v="2"/>
    <x v="1"/>
    <n v="5538.6"/>
    <x v="0"/>
  </r>
  <r>
    <s v="OD20138"/>
    <d v="2024-10-03T00:00:00"/>
    <x v="5"/>
    <x v="0"/>
    <x v="15"/>
    <x v="5"/>
    <n v="5"/>
    <n v="3955.39"/>
    <n v="0.2"/>
    <x v="0"/>
    <x v="3"/>
    <x v="1"/>
    <n v="15821.56"/>
    <x v="2"/>
  </r>
  <r>
    <s v="OD20139"/>
    <d v="2024-10-27T00:00:00"/>
    <x v="5"/>
    <x v="4"/>
    <x v="24"/>
    <x v="1"/>
    <n v="1"/>
    <n v="6364.57"/>
    <n v="0.25"/>
    <x v="2"/>
    <x v="4"/>
    <x v="1"/>
    <n v="4773.43"/>
    <x v="0"/>
  </r>
  <r>
    <s v="OD20140"/>
    <d v="2024-09-16T00:00:00"/>
    <x v="3"/>
    <x v="2"/>
    <x v="7"/>
    <x v="3"/>
    <n v="5"/>
    <n v="1734.68"/>
    <n v="0.1"/>
    <x v="0"/>
    <x v="2"/>
    <x v="1"/>
    <n v="7806.06"/>
    <x v="0"/>
  </r>
  <r>
    <s v="OD20141"/>
    <d v="2024-01-23T00:00:00"/>
    <x v="1"/>
    <x v="2"/>
    <x v="2"/>
    <x v="6"/>
    <n v="4"/>
    <n v="3086.22"/>
    <n v="0"/>
    <x v="0"/>
    <x v="2"/>
    <x v="1"/>
    <n v="12344.88"/>
    <x v="2"/>
  </r>
  <r>
    <s v="OD20142"/>
    <d v="2024-02-18T00:00:00"/>
    <x v="10"/>
    <x v="2"/>
    <x v="20"/>
    <x v="2"/>
    <n v="1"/>
    <n v="1756.45"/>
    <n v="0.25"/>
    <x v="2"/>
    <x v="0"/>
    <x v="1"/>
    <n v="1317.34"/>
    <x v="0"/>
  </r>
  <r>
    <s v="OD20143"/>
    <d v="2024-04-12T00:00:00"/>
    <x v="8"/>
    <x v="0"/>
    <x v="17"/>
    <x v="7"/>
    <n v="2"/>
    <n v="3118.89"/>
    <n v="0"/>
    <x v="0"/>
    <x v="3"/>
    <x v="1"/>
    <n v="6237.78"/>
    <x v="0"/>
  </r>
  <r>
    <s v="OD20144"/>
    <d v="2024-06-12T00:00:00"/>
    <x v="11"/>
    <x v="3"/>
    <x v="14"/>
    <x v="1"/>
    <n v="5"/>
    <n v="1980.68"/>
    <n v="0"/>
    <x v="1"/>
    <x v="1"/>
    <x v="1"/>
    <n v="9903.4"/>
    <x v="0"/>
  </r>
  <r>
    <s v="OD20145"/>
    <d v="2024-06-29T00:00:00"/>
    <x v="11"/>
    <x v="1"/>
    <x v="1"/>
    <x v="1"/>
    <n v="1"/>
    <n v="7236.62"/>
    <n v="0"/>
    <x v="0"/>
    <x v="0"/>
    <x v="0"/>
    <n v="7236.62"/>
    <x v="0"/>
  </r>
  <r>
    <s v="OD20146"/>
    <d v="2024-01-03T00:00:00"/>
    <x v="1"/>
    <x v="3"/>
    <x v="12"/>
    <x v="7"/>
    <n v="2"/>
    <n v="5463.58"/>
    <n v="0.1"/>
    <x v="2"/>
    <x v="2"/>
    <x v="1"/>
    <n v="9834.44"/>
    <x v="0"/>
  </r>
  <r>
    <s v="OD20147"/>
    <d v="2024-07-13T00:00:00"/>
    <x v="6"/>
    <x v="3"/>
    <x v="21"/>
    <x v="3"/>
    <n v="2"/>
    <n v="3614.87"/>
    <n v="0.05"/>
    <x v="1"/>
    <x v="1"/>
    <x v="1"/>
    <n v="6868.25"/>
    <x v="0"/>
  </r>
  <r>
    <s v="OD20148"/>
    <d v="2024-03-12T00:00:00"/>
    <x v="7"/>
    <x v="3"/>
    <x v="4"/>
    <x v="7"/>
    <n v="4"/>
    <n v="7669.94"/>
    <n v="0.2"/>
    <x v="0"/>
    <x v="0"/>
    <x v="0"/>
    <n v="24543.81"/>
    <x v="1"/>
  </r>
  <r>
    <s v="OD20149"/>
    <d v="2024-04-23T00:00:00"/>
    <x v="8"/>
    <x v="0"/>
    <x v="0"/>
    <x v="7"/>
    <n v="6"/>
    <n v="595.29999999999995"/>
    <n v="0.25"/>
    <x v="2"/>
    <x v="1"/>
    <x v="1"/>
    <n v="2678.85"/>
    <x v="0"/>
  </r>
  <r>
    <s v="OD20150"/>
    <d v="2024-06-20T00:00:00"/>
    <x v="11"/>
    <x v="3"/>
    <x v="21"/>
    <x v="1"/>
    <n v="2"/>
    <n v="2196.2800000000002"/>
    <n v="0"/>
    <x v="0"/>
    <x v="1"/>
    <x v="1"/>
    <n v="4392.5600000000004"/>
    <x v="0"/>
  </r>
  <r>
    <s v="OD20151"/>
    <d v="2024-04-13T00:00:00"/>
    <x v="8"/>
    <x v="0"/>
    <x v="17"/>
    <x v="1"/>
    <n v="3"/>
    <n v="3541.67"/>
    <n v="0.1"/>
    <x v="0"/>
    <x v="3"/>
    <x v="1"/>
    <n v="9562.51"/>
    <x v="0"/>
  </r>
  <r>
    <s v="OD20152"/>
    <d v="2024-09-16T00:00:00"/>
    <x v="3"/>
    <x v="1"/>
    <x v="1"/>
    <x v="3"/>
    <n v="3"/>
    <n v="4159.66"/>
    <n v="0.25"/>
    <x v="0"/>
    <x v="3"/>
    <x v="1"/>
    <n v="9359.24"/>
    <x v="0"/>
  </r>
  <r>
    <s v="OD20153"/>
    <d v="2024-03-11T00:00:00"/>
    <x v="7"/>
    <x v="1"/>
    <x v="10"/>
    <x v="4"/>
    <n v="2"/>
    <n v="4244.97"/>
    <n v="0.1"/>
    <x v="1"/>
    <x v="0"/>
    <x v="1"/>
    <n v="7640.95"/>
    <x v="0"/>
  </r>
  <r>
    <s v="OD20154"/>
    <d v="2024-11-09T00:00:00"/>
    <x v="0"/>
    <x v="1"/>
    <x v="11"/>
    <x v="4"/>
    <n v="6"/>
    <n v="5705.9"/>
    <n v="0.1"/>
    <x v="2"/>
    <x v="3"/>
    <x v="1"/>
    <n v="30811.86"/>
    <x v="1"/>
  </r>
  <r>
    <s v="OD20155"/>
    <d v="2024-02-16T00:00:00"/>
    <x v="10"/>
    <x v="0"/>
    <x v="23"/>
    <x v="3"/>
    <n v="1"/>
    <n v="3364.71"/>
    <n v="0.25"/>
    <x v="0"/>
    <x v="2"/>
    <x v="0"/>
    <n v="2523.5300000000002"/>
    <x v="0"/>
  </r>
  <r>
    <s v="OD20156"/>
    <d v="2024-07-01T00:00:00"/>
    <x v="6"/>
    <x v="1"/>
    <x v="10"/>
    <x v="2"/>
    <n v="5"/>
    <n v="7467.13"/>
    <n v="0"/>
    <x v="0"/>
    <x v="0"/>
    <x v="0"/>
    <n v="37335.65"/>
    <x v="1"/>
  </r>
  <r>
    <s v="OD20157"/>
    <d v="2024-08-16T00:00:00"/>
    <x v="2"/>
    <x v="0"/>
    <x v="17"/>
    <x v="3"/>
    <n v="5"/>
    <n v="351.29"/>
    <n v="0.05"/>
    <x v="0"/>
    <x v="2"/>
    <x v="1"/>
    <n v="1668.63"/>
    <x v="0"/>
  </r>
  <r>
    <s v="OD20158"/>
    <d v="2024-02-19T00:00:00"/>
    <x v="10"/>
    <x v="2"/>
    <x v="3"/>
    <x v="2"/>
    <n v="6"/>
    <n v="5949.18"/>
    <n v="0.1"/>
    <x v="0"/>
    <x v="0"/>
    <x v="0"/>
    <n v="32125.57"/>
    <x v="1"/>
  </r>
  <r>
    <s v="OD20159"/>
    <d v="2024-01-24T00:00:00"/>
    <x v="1"/>
    <x v="0"/>
    <x v="17"/>
    <x v="4"/>
    <n v="3"/>
    <n v="1115.94"/>
    <n v="0.25"/>
    <x v="2"/>
    <x v="1"/>
    <x v="1"/>
    <n v="2510.87"/>
    <x v="0"/>
  </r>
  <r>
    <s v="OD20160"/>
    <d v="2024-07-22T00:00:00"/>
    <x v="6"/>
    <x v="1"/>
    <x v="11"/>
    <x v="3"/>
    <n v="2"/>
    <n v="7593.33"/>
    <n v="0"/>
    <x v="1"/>
    <x v="0"/>
    <x v="0"/>
    <n v="15186.66"/>
    <x v="2"/>
  </r>
  <r>
    <s v="OD20161"/>
    <d v="2024-05-03T00:00:00"/>
    <x v="9"/>
    <x v="0"/>
    <x v="23"/>
    <x v="0"/>
    <n v="3"/>
    <n v="5766.9"/>
    <n v="0.15"/>
    <x v="3"/>
    <x v="2"/>
    <x v="1"/>
    <n v="14705.59"/>
    <x v="2"/>
  </r>
  <r>
    <s v="OD20162"/>
    <d v="2024-02-25T00:00:00"/>
    <x v="10"/>
    <x v="4"/>
    <x v="6"/>
    <x v="7"/>
    <n v="5"/>
    <n v="1621.84"/>
    <n v="0.15"/>
    <x v="3"/>
    <x v="0"/>
    <x v="1"/>
    <n v="6892.82"/>
    <x v="0"/>
  </r>
  <r>
    <s v="OD20163"/>
    <d v="2024-11-24T00:00:00"/>
    <x v="0"/>
    <x v="3"/>
    <x v="14"/>
    <x v="2"/>
    <n v="5"/>
    <n v="2236.31"/>
    <n v="0.1"/>
    <x v="1"/>
    <x v="4"/>
    <x v="0"/>
    <n v="10063.4"/>
    <x v="2"/>
  </r>
  <r>
    <s v="OD20164"/>
    <d v="2024-05-27T00:00:00"/>
    <x v="9"/>
    <x v="4"/>
    <x v="24"/>
    <x v="2"/>
    <n v="1"/>
    <n v="2547.48"/>
    <n v="0.05"/>
    <x v="0"/>
    <x v="3"/>
    <x v="1"/>
    <n v="2420.11"/>
    <x v="0"/>
  </r>
  <r>
    <s v="OD20165"/>
    <d v="2024-08-13T00:00:00"/>
    <x v="2"/>
    <x v="2"/>
    <x v="20"/>
    <x v="4"/>
    <n v="1"/>
    <n v="4166.3100000000004"/>
    <n v="0.1"/>
    <x v="3"/>
    <x v="2"/>
    <x v="1"/>
    <n v="3749.68"/>
    <x v="0"/>
  </r>
  <r>
    <s v="OD20166"/>
    <d v="2024-11-28T00:00:00"/>
    <x v="0"/>
    <x v="2"/>
    <x v="20"/>
    <x v="6"/>
    <n v="4"/>
    <n v="1729.36"/>
    <n v="0.15"/>
    <x v="3"/>
    <x v="3"/>
    <x v="1"/>
    <n v="5879.82"/>
    <x v="0"/>
  </r>
  <r>
    <s v="OD20167"/>
    <d v="2024-09-19T00:00:00"/>
    <x v="3"/>
    <x v="0"/>
    <x v="0"/>
    <x v="6"/>
    <n v="5"/>
    <n v="3157.9"/>
    <n v="0.2"/>
    <x v="0"/>
    <x v="2"/>
    <x v="1"/>
    <n v="12631.6"/>
    <x v="2"/>
  </r>
  <r>
    <s v="OD20168"/>
    <d v="2024-05-31T00:00:00"/>
    <x v="9"/>
    <x v="0"/>
    <x v="23"/>
    <x v="6"/>
    <n v="1"/>
    <n v="6211.21"/>
    <n v="0.05"/>
    <x v="2"/>
    <x v="0"/>
    <x v="1"/>
    <n v="5900.65"/>
    <x v="0"/>
  </r>
  <r>
    <s v="OD20169"/>
    <d v="2024-12-12T00:00:00"/>
    <x v="4"/>
    <x v="0"/>
    <x v="17"/>
    <x v="6"/>
    <n v="6"/>
    <n v="7481.51"/>
    <n v="0.2"/>
    <x v="0"/>
    <x v="2"/>
    <x v="0"/>
    <n v="35911.25"/>
    <x v="1"/>
  </r>
  <r>
    <s v="OD20170"/>
    <d v="2024-07-30T00:00:00"/>
    <x v="6"/>
    <x v="4"/>
    <x v="22"/>
    <x v="4"/>
    <n v="1"/>
    <n v="183.94"/>
    <n v="0"/>
    <x v="3"/>
    <x v="2"/>
    <x v="0"/>
    <n v="183.94"/>
    <x v="0"/>
  </r>
  <r>
    <s v="OD20171"/>
    <d v="2024-05-27T00:00:00"/>
    <x v="9"/>
    <x v="4"/>
    <x v="5"/>
    <x v="3"/>
    <n v="6"/>
    <n v="2918.06"/>
    <n v="0.15"/>
    <x v="3"/>
    <x v="0"/>
    <x v="1"/>
    <n v="17508.21"/>
    <x v="2"/>
  </r>
  <r>
    <s v="OD20172"/>
    <d v="2024-10-01T00:00:00"/>
    <x v="5"/>
    <x v="4"/>
    <x v="22"/>
    <x v="4"/>
    <n v="3"/>
    <n v="6453.18"/>
    <n v="0.2"/>
    <x v="2"/>
    <x v="4"/>
    <x v="1"/>
    <n v="15487.63"/>
    <x v="2"/>
  </r>
  <r>
    <s v="OD20173"/>
    <d v="2024-01-06T00:00:00"/>
    <x v="1"/>
    <x v="0"/>
    <x v="0"/>
    <x v="0"/>
    <n v="1"/>
    <n v="522.41999999999996"/>
    <n v="0.25"/>
    <x v="0"/>
    <x v="4"/>
    <x v="1"/>
    <n v="391.81"/>
    <x v="0"/>
  </r>
  <r>
    <s v="OD20174"/>
    <d v="2024-01-21T00:00:00"/>
    <x v="1"/>
    <x v="4"/>
    <x v="5"/>
    <x v="7"/>
    <n v="5"/>
    <n v="5458.38"/>
    <n v="0.25"/>
    <x v="0"/>
    <x v="0"/>
    <x v="1"/>
    <n v="20468.93"/>
    <x v="1"/>
  </r>
  <r>
    <s v="OD20175"/>
    <d v="2024-07-24T00:00:00"/>
    <x v="6"/>
    <x v="1"/>
    <x v="18"/>
    <x v="3"/>
    <n v="4"/>
    <n v="6173.53"/>
    <n v="0.15"/>
    <x v="1"/>
    <x v="3"/>
    <x v="1"/>
    <n v="20990"/>
    <x v="1"/>
  </r>
  <r>
    <s v="OD20176"/>
    <d v="2024-12-01T00:00:00"/>
    <x v="4"/>
    <x v="2"/>
    <x v="2"/>
    <x v="5"/>
    <n v="3"/>
    <n v="5565.61"/>
    <n v="0.2"/>
    <x v="1"/>
    <x v="1"/>
    <x v="1"/>
    <n v="13357.46"/>
    <x v="2"/>
  </r>
  <r>
    <s v="OD20177"/>
    <d v="2024-06-29T00:00:00"/>
    <x v="11"/>
    <x v="1"/>
    <x v="1"/>
    <x v="5"/>
    <n v="5"/>
    <n v="7950.93"/>
    <n v="0"/>
    <x v="1"/>
    <x v="3"/>
    <x v="1"/>
    <n v="39754.65"/>
    <x v="1"/>
  </r>
  <r>
    <s v="OD20178"/>
    <d v="2024-12-08T00:00:00"/>
    <x v="4"/>
    <x v="4"/>
    <x v="6"/>
    <x v="2"/>
    <n v="1"/>
    <n v="1693.71"/>
    <n v="0.25"/>
    <x v="2"/>
    <x v="1"/>
    <x v="1"/>
    <n v="1270.28"/>
    <x v="0"/>
  </r>
  <r>
    <s v="OD20179"/>
    <d v="2024-03-15T00:00:00"/>
    <x v="7"/>
    <x v="4"/>
    <x v="8"/>
    <x v="5"/>
    <n v="2"/>
    <n v="4219.63"/>
    <n v="0"/>
    <x v="0"/>
    <x v="4"/>
    <x v="1"/>
    <n v="8439.26"/>
    <x v="0"/>
  </r>
  <r>
    <s v="OD20180"/>
    <d v="2024-03-14T00:00:00"/>
    <x v="7"/>
    <x v="3"/>
    <x v="14"/>
    <x v="7"/>
    <n v="6"/>
    <n v="2020.36"/>
    <n v="0.1"/>
    <x v="0"/>
    <x v="3"/>
    <x v="1"/>
    <n v="10909.94"/>
    <x v="2"/>
  </r>
  <r>
    <s v="OD20181"/>
    <d v="2024-01-11T00:00:00"/>
    <x v="1"/>
    <x v="1"/>
    <x v="18"/>
    <x v="0"/>
    <n v="1"/>
    <n v="1877.38"/>
    <n v="0.2"/>
    <x v="2"/>
    <x v="1"/>
    <x v="0"/>
    <n v="1501.9"/>
    <x v="0"/>
  </r>
  <r>
    <s v="OD20182"/>
    <d v="2024-06-10T00:00:00"/>
    <x v="11"/>
    <x v="1"/>
    <x v="9"/>
    <x v="4"/>
    <n v="1"/>
    <n v="7206.11"/>
    <n v="0.25"/>
    <x v="0"/>
    <x v="3"/>
    <x v="1"/>
    <n v="5404.58"/>
    <x v="0"/>
  </r>
  <r>
    <s v="OD20183"/>
    <d v="2024-07-30T00:00:00"/>
    <x v="6"/>
    <x v="4"/>
    <x v="8"/>
    <x v="6"/>
    <n v="3"/>
    <n v="3278.99"/>
    <n v="0.25"/>
    <x v="0"/>
    <x v="1"/>
    <x v="0"/>
    <n v="7377.73"/>
    <x v="0"/>
  </r>
  <r>
    <s v="OD20184"/>
    <d v="2024-02-28T00:00:00"/>
    <x v="10"/>
    <x v="0"/>
    <x v="16"/>
    <x v="7"/>
    <n v="3"/>
    <n v="4339.9399999999996"/>
    <n v="0.2"/>
    <x v="0"/>
    <x v="2"/>
    <x v="1"/>
    <n v="10415.86"/>
    <x v="2"/>
  </r>
  <r>
    <s v="OD20185"/>
    <d v="2024-05-25T00:00:00"/>
    <x v="9"/>
    <x v="4"/>
    <x v="24"/>
    <x v="3"/>
    <n v="3"/>
    <n v="2011.82"/>
    <n v="0"/>
    <x v="0"/>
    <x v="3"/>
    <x v="1"/>
    <n v="6035.46"/>
    <x v="0"/>
  </r>
  <r>
    <s v="OD20186"/>
    <d v="2024-10-11T00:00:00"/>
    <x v="5"/>
    <x v="0"/>
    <x v="15"/>
    <x v="4"/>
    <n v="4"/>
    <n v="3816.36"/>
    <n v="0.1"/>
    <x v="0"/>
    <x v="4"/>
    <x v="1"/>
    <n v="13738.9"/>
    <x v="2"/>
  </r>
  <r>
    <s v="OD20187"/>
    <d v="2024-04-26T00:00:00"/>
    <x v="8"/>
    <x v="0"/>
    <x v="16"/>
    <x v="6"/>
    <n v="4"/>
    <n v="5451.12"/>
    <n v="0.1"/>
    <x v="2"/>
    <x v="4"/>
    <x v="1"/>
    <n v="19624.03"/>
    <x v="2"/>
  </r>
  <r>
    <s v="OD20188"/>
    <d v="2024-10-04T00:00:00"/>
    <x v="5"/>
    <x v="1"/>
    <x v="1"/>
    <x v="5"/>
    <n v="3"/>
    <n v="5927.12"/>
    <n v="0.2"/>
    <x v="0"/>
    <x v="3"/>
    <x v="1"/>
    <n v="14225.09"/>
    <x v="2"/>
  </r>
  <r>
    <s v="OD20189"/>
    <d v="2024-12-05T00:00:00"/>
    <x v="4"/>
    <x v="1"/>
    <x v="10"/>
    <x v="6"/>
    <n v="1"/>
    <n v="684.43"/>
    <n v="0.15"/>
    <x v="2"/>
    <x v="2"/>
    <x v="1"/>
    <n v="581.77"/>
    <x v="0"/>
  </r>
  <r>
    <s v="OD20190"/>
    <d v="2024-07-25T00:00:00"/>
    <x v="6"/>
    <x v="4"/>
    <x v="22"/>
    <x v="7"/>
    <n v="4"/>
    <n v="6233.72"/>
    <n v="0.05"/>
    <x v="0"/>
    <x v="0"/>
    <x v="0"/>
    <n v="23688.14"/>
    <x v="1"/>
  </r>
  <r>
    <s v="OD20191"/>
    <d v="2024-06-29T00:00:00"/>
    <x v="11"/>
    <x v="4"/>
    <x v="24"/>
    <x v="0"/>
    <n v="6"/>
    <n v="916.93"/>
    <n v="0.1"/>
    <x v="0"/>
    <x v="0"/>
    <x v="0"/>
    <n v="4951.42"/>
    <x v="0"/>
  </r>
  <r>
    <s v="OD20192"/>
    <d v="2024-04-11T00:00:00"/>
    <x v="8"/>
    <x v="2"/>
    <x v="2"/>
    <x v="0"/>
    <n v="3"/>
    <n v="1376.08"/>
    <n v="0"/>
    <x v="2"/>
    <x v="4"/>
    <x v="1"/>
    <n v="4128.24"/>
    <x v="0"/>
  </r>
  <r>
    <s v="OD20193"/>
    <d v="2024-12-09T00:00:00"/>
    <x v="4"/>
    <x v="2"/>
    <x v="7"/>
    <x v="0"/>
    <n v="6"/>
    <n v="4665.91"/>
    <n v="0"/>
    <x v="0"/>
    <x v="4"/>
    <x v="0"/>
    <n v="27995.46"/>
    <x v="1"/>
  </r>
  <r>
    <s v="OD20194"/>
    <d v="2024-06-12T00:00:00"/>
    <x v="11"/>
    <x v="1"/>
    <x v="1"/>
    <x v="2"/>
    <n v="2"/>
    <n v="6250.4"/>
    <n v="0.15"/>
    <x v="1"/>
    <x v="4"/>
    <x v="1"/>
    <n v="10625.68"/>
    <x v="2"/>
  </r>
  <r>
    <s v="OD20195"/>
    <d v="2024-06-27T00:00:00"/>
    <x v="11"/>
    <x v="0"/>
    <x v="15"/>
    <x v="5"/>
    <n v="4"/>
    <n v="3624.07"/>
    <n v="0.15"/>
    <x v="1"/>
    <x v="4"/>
    <x v="0"/>
    <n v="12321.84"/>
    <x v="2"/>
  </r>
  <r>
    <s v="OD20196"/>
    <d v="2024-09-07T00:00:00"/>
    <x v="3"/>
    <x v="1"/>
    <x v="18"/>
    <x v="4"/>
    <n v="2"/>
    <n v="492.98"/>
    <n v="0.1"/>
    <x v="0"/>
    <x v="1"/>
    <x v="0"/>
    <n v="887.36"/>
    <x v="0"/>
  </r>
  <r>
    <s v="OD20197"/>
    <d v="2024-07-29T00:00:00"/>
    <x v="6"/>
    <x v="1"/>
    <x v="10"/>
    <x v="7"/>
    <n v="1"/>
    <n v="1731.08"/>
    <n v="0.1"/>
    <x v="0"/>
    <x v="1"/>
    <x v="0"/>
    <n v="1557.97"/>
    <x v="0"/>
  </r>
  <r>
    <s v="OD20198"/>
    <d v="2024-11-24T00:00:00"/>
    <x v="0"/>
    <x v="2"/>
    <x v="19"/>
    <x v="4"/>
    <n v="3"/>
    <n v="5629.69"/>
    <n v="0.05"/>
    <x v="1"/>
    <x v="4"/>
    <x v="1"/>
    <n v="16044.62"/>
    <x v="2"/>
  </r>
  <r>
    <s v="OD20199"/>
    <d v="2024-07-26T00:00:00"/>
    <x v="6"/>
    <x v="1"/>
    <x v="11"/>
    <x v="3"/>
    <n v="2"/>
    <n v="1048.6500000000001"/>
    <n v="0.1"/>
    <x v="0"/>
    <x v="1"/>
    <x v="0"/>
    <n v="1887.57"/>
    <x v="0"/>
  </r>
  <r>
    <s v="OD20200"/>
    <d v="2024-03-23T00:00:00"/>
    <x v="7"/>
    <x v="0"/>
    <x v="16"/>
    <x v="5"/>
    <n v="3"/>
    <n v="3643.82"/>
    <n v="0.15"/>
    <x v="0"/>
    <x v="0"/>
    <x v="0"/>
    <n v="9291.74"/>
    <x v="0"/>
  </r>
  <r>
    <s v="OD20201"/>
    <d v="2024-02-25T00:00:00"/>
    <x v="10"/>
    <x v="0"/>
    <x v="15"/>
    <x v="1"/>
    <n v="6"/>
    <n v="3987.68"/>
    <n v="0.2"/>
    <x v="3"/>
    <x v="2"/>
    <x v="1"/>
    <n v="19140.86"/>
    <x v="2"/>
  </r>
  <r>
    <s v="OD20202"/>
    <d v="2024-01-15T00:00:00"/>
    <x v="1"/>
    <x v="1"/>
    <x v="1"/>
    <x v="4"/>
    <n v="1"/>
    <n v="6229.34"/>
    <n v="0.05"/>
    <x v="0"/>
    <x v="1"/>
    <x v="0"/>
    <n v="5917.87"/>
    <x v="0"/>
  </r>
  <r>
    <s v="OD20203"/>
    <d v="2024-07-13T00:00:00"/>
    <x v="6"/>
    <x v="0"/>
    <x v="15"/>
    <x v="7"/>
    <n v="2"/>
    <n v="5231.34"/>
    <n v="0.15"/>
    <x v="0"/>
    <x v="2"/>
    <x v="1"/>
    <n v="8893.2800000000007"/>
    <x v="0"/>
  </r>
  <r>
    <s v="OD20204"/>
    <d v="2024-10-17T00:00:00"/>
    <x v="5"/>
    <x v="3"/>
    <x v="14"/>
    <x v="5"/>
    <n v="6"/>
    <n v="7380.46"/>
    <n v="0.2"/>
    <x v="0"/>
    <x v="2"/>
    <x v="0"/>
    <n v="35426.21"/>
    <x v="1"/>
  </r>
  <r>
    <s v="OD20205"/>
    <d v="2024-03-11T00:00:00"/>
    <x v="7"/>
    <x v="1"/>
    <x v="11"/>
    <x v="4"/>
    <n v="4"/>
    <n v="5148.53"/>
    <n v="0.2"/>
    <x v="0"/>
    <x v="2"/>
    <x v="0"/>
    <n v="16475.3"/>
    <x v="2"/>
  </r>
  <r>
    <s v="OD20206"/>
    <d v="2024-03-14T00:00:00"/>
    <x v="7"/>
    <x v="3"/>
    <x v="4"/>
    <x v="0"/>
    <n v="3"/>
    <n v="715.15"/>
    <n v="0"/>
    <x v="2"/>
    <x v="1"/>
    <x v="1"/>
    <n v="2145.4499999999998"/>
    <x v="0"/>
  </r>
  <r>
    <s v="OD20207"/>
    <d v="2024-08-14T00:00:00"/>
    <x v="2"/>
    <x v="4"/>
    <x v="22"/>
    <x v="2"/>
    <n v="5"/>
    <n v="5450.8"/>
    <n v="0.1"/>
    <x v="3"/>
    <x v="1"/>
    <x v="1"/>
    <n v="24528.6"/>
    <x v="1"/>
  </r>
  <r>
    <s v="OD20208"/>
    <d v="2024-01-31T00:00:00"/>
    <x v="1"/>
    <x v="2"/>
    <x v="20"/>
    <x v="5"/>
    <n v="6"/>
    <n v="5460.1"/>
    <n v="0.1"/>
    <x v="2"/>
    <x v="2"/>
    <x v="1"/>
    <n v="29484.54"/>
    <x v="1"/>
  </r>
  <r>
    <s v="OD20209"/>
    <d v="2024-04-23T00:00:00"/>
    <x v="8"/>
    <x v="2"/>
    <x v="3"/>
    <x v="6"/>
    <n v="6"/>
    <n v="5956.77"/>
    <n v="0"/>
    <x v="0"/>
    <x v="4"/>
    <x v="1"/>
    <n v="35740.620000000003"/>
    <x v="1"/>
  </r>
  <r>
    <s v="OD20210"/>
    <d v="2024-05-13T00:00:00"/>
    <x v="9"/>
    <x v="2"/>
    <x v="19"/>
    <x v="0"/>
    <n v="1"/>
    <n v="1933.87"/>
    <n v="0.1"/>
    <x v="2"/>
    <x v="1"/>
    <x v="1"/>
    <n v="1740.48"/>
    <x v="0"/>
  </r>
  <r>
    <s v="OD20211"/>
    <d v="2024-04-25T00:00:00"/>
    <x v="8"/>
    <x v="4"/>
    <x v="24"/>
    <x v="3"/>
    <n v="5"/>
    <n v="4645.75"/>
    <n v="0"/>
    <x v="1"/>
    <x v="3"/>
    <x v="1"/>
    <n v="23228.75"/>
    <x v="1"/>
  </r>
  <r>
    <s v="OD20212"/>
    <d v="2024-11-16T00:00:00"/>
    <x v="0"/>
    <x v="1"/>
    <x v="9"/>
    <x v="5"/>
    <n v="6"/>
    <n v="4193.9799999999996"/>
    <n v="0.25"/>
    <x v="1"/>
    <x v="3"/>
    <x v="1"/>
    <n v="18872.91"/>
    <x v="2"/>
  </r>
  <r>
    <s v="OD20213"/>
    <d v="2024-07-26T00:00:00"/>
    <x v="6"/>
    <x v="0"/>
    <x v="15"/>
    <x v="2"/>
    <n v="2"/>
    <n v="520.69000000000005"/>
    <n v="0"/>
    <x v="0"/>
    <x v="1"/>
    <x v="1"/>
    <n v="1041.3800000000001"/>
    <x v="0"/>
  </r>
  <r>
    <s v="OD20214"/>
    <d v="2024-10-15T00:00:00"/>
    <x v="5"/>
    <x v="3"/>
    <x v="4"/>
    <x v="6"/>
    <n v="1"/>
    <n v="7352.41"/>
    <n v="0.15"/>
    <x v="0"/>
    <x v="3"/>
    <x v="1"/>
    <n v="6249.55"/>
    <x v="0"/>
  </r>
  <r>
    <s v="OD20215"/>
    <d v="2024-09-19T00:00:00"/>
    <x v="3"/>
    <x v="3"/>
    <x v="12"/>
    <x v="7"/>
    <n v="6"/>
    <n v="4268.96"/>
    <n v="0.15"/>
    <x v="1"/>
    <x v="2"/>
    <x v="0"/>
    <n v="21771.7"/>
    <x v="1"/>
  </r>
  <r>
    <s v="OD20216"/>
    <d v="2024-06-30T00:00:00"/>
    <x v="11"/>
    <x v="3"/>
    <x v="12"/>
    <x v="1"/>
    <n v="2"/>
    <n v="5597.33"/>
    <n v="0"/>
    <x v="2"/>
    <x v="2"/>
    <x v="1"/>
    <n v="11194.66"/>
    <x v="2"/>
  </r>
  <r>
    <s v="OD20217"/>
    <d v="2024-12-17T00:00:00"/>
    <x v="4"/>
    <x v="1"/>
    <x v="9"/>
    <x v="1"/>
    <n v="6"/>
    <n v="3139.44"/>
    <n v="0.05"/>
    <x v="2"/>
    <x v="0"/>
    <x v="0"/>
    <n v="17894.810000000001"/>
    <x v="2"/>
  </r>
  <r>
    <s v="OD20218"/>
    <d v="2024-09-06T00:00:00"/>
    <x v="3"/>
    <x v="3"/>
    <x v="21"/>
    <x v="4"/>
    <n v="5"/>
    <n v="3949.16"/>
    <n v="0"/>
    <x v="0"/>
    <x v="0"/>
    <x v="1"/>
    <n v="19745.8"/>
    <x v="2"/>
  </r>
  <r>
    <s v="OD20219"/>
    <d v="2024-11-08T00:00:00"/>
    <x v="0"/>
    <x v="4"/>
    <x v="5"/>
    <x v="6"/>
    <n v="5"/>
    <n v="745.69"/>
    <n v="0.15"/>
    <x v="2"/>
    <x v="1"/>
    <x v="1"/>
    <n v="3169.18"/>
    <x v="0"/>
  </r>
  <r>
    <s v="OD20220"/>
    <d v="2024-07-17T00:00:00"/>
    <x v="6"/>
    <x v="4"/>
    <x v="22"/>
    <x v="3"/>
    <n v="3"/>
    <n v="2617.7199999999998"/>
    <n v="0.15"/>
    <x v="2"/>
    <x v="4"/>
    <x v="0"/>
    <n v="6675.19"/>
    <x v="0"/>
  </r>
  <r>
    <s v="OD20221"/>
    <d v="2024-07-15T00:00:00"/>
    <x v="6"/>
    <x v="1"/>
    <x v="11"/>
    <x v="1"/>
    <n v="3"/>
    <n v="648.34"/>
    <n v="0.1"/>
    <x v="0"/>
    <x v="3"/>
    <x v="0"/>
    <n v="1750.52"/>
    <x v="0"/>
  </r>
  <r>
    <s v="OD20222"/>
    <d v="2024-07-04T00:00:00"/>
    <x v="6"/>
    <x v="1"/>
    <x v="18"/>
    <x v="5"/>
    <n v="3"/>
    <n v="6375.38"/>
    <n v="0.1"/>
    <x v="0"/>
    <x v="4"/>
    <x v="1"/>
    <n v="17213.53"/>
    <x v="2"/>
  </r>
  <r>
    <s v="OD20223"/>
    <d v="2024-06-20T00:00:00"/>
    <x v="11"/>
    <x v="0"/>
    <x v="15"/>
    <x v="0"/>
    <n v="1"/>
    <n v="5678.17"/>
    <n v="0.15"/>
    <x v="3"/>
    <x v="1"/>
    <x v="1"/>
    <n v="4826.4399999999996"/>
    <x v="0"/>
  </r>
  <r>
    <s v="OD20224"/>
    <d v="2024-07-26T00:00:00"/>
    <x v="6"/>
    <x v="1"/>
    <x v="1"/>
    <x v="3"/>
    <n v="4"/>
    <n v="3259.18"/>
    <n v="0.1"/>
    <x v="0"/>
    <x v="4"/>
    <x v="1"/>
    <n v="11733.05"/>
    <x v="2"/>
  </r>
  <r>
    <s v="OD20225"/>
    <d v="2024-10-26T00:00:00"/>
    <x v="5"/>
    <x v="3"/>
    <x v="12"/>
    <x v="5"/>
    <n v="2"/>
    <n v="2538.2600000000002"/>
    <n v="0.15"/>
    <x v="3"/>
    <x v="3"/>
    <x v="1"/>
    <n v="4315.04"/>
    <x v="0"/>
  </r>
  <r>
    <s v="OD20226"/>
    <d v="2024-05-11T00:00:00"/>
    <x v="9"/>
    <x v="0"/>
    <x v="0"/>
    <x v="1"/>
    <n v="5"/>
    <n v="331.12"/>
    <n v="0.05"/>
    <x v="1"/>
    <x v="1"/>
    <x v="1"/>
    <n v="1572.82"/>
    <x v="0"/>
  </r>
  <r>
    <s v="OD20227"/>
    <d v="2024-05-03T00:00:00"/>
    <x v="9"/>
    <x v="2"/>
    <x v="3"/>
    <x v="6"/>
    <n v="6"/>
    <n v="595.88"/>
    <n v="0.05"/>
    <x v="2"/>
    <x v="1"/>
    <x v="0"/>
    <n v="3396.52"/>
    <x v="0"/>
  </r>
  <r>
    <s v="OD20228"/>
    <d v="2024-11-23T00:00:00"/>
    <x v="0"/>
    <x v="1"/>
    <x v="10"/>
    <x v="2"/>
    <n v="3"/>
    <n v="7394.67"/>
    <n v="0.1"/>
    <x v="0"/>
    <x v="2"/>
    <x v="1"/>
    <n v="19965.61"/>
    <x v="2"/>
  </r>
  <r>
    <s v="OD20229"/>
    <d v="2024-02-14T00:00:00"/>
    <x v="10"/>
    <x v="3"/>
    <x v="13"/>
    <x v="2"/>
    <n v="6"/>
    <n v="4960.42"/>
    <n v="0.25"/>
    <x v="2"/>
    <x v="2"/>
    <x v="1"/>
    <n v="29762.27"/>
    <x v="1"/>
  </r>
  <r>
    <s v="OD20230"/>
    <d v="2024-03-21T00:00:00"/>
    <x v="7"/>
    <x v="3"/>
    <x v="13"/>
    <x v="7"/>
    <n v="1"/>
    <n v="296.02"/>
    <n v="0.1"/>
    <x v="0"/>
    <x v="2"/>
    <x v="1"/>
    <n v="266.42"/>
    <x v="0"/>
  </r>
  <r>
    <s v="OD20231"/>
    <d v="2024-04-27T00:00:00"/>
    <x v="8"/>
    <x v="2"/>
    <x v="20"/>
    <x v="7"/>
    <n v="6"/>
    <n v="5006.6099999999997"/>
    <n v="0.25"/>
    <x v="0"/>
    <x v="0"/>
    <x v="1"/>
    <n v="22529.74"/>
    <x v="1"/>
  </r>
  <r>
    <s v="OD20232"/>
    <d v="2024-03-08T00:00:00"/>
    <x v="7"/>
    <x v="0"/>
    <x v="15"/>
    <x v="1"/>
    <n v="3"/>
    <n v="220.97"/>
    <n v="0.25"/>
    <x v="0"/>
    <x v="1"/>
    <x v="1"/>
    <n v="497.18"/>
    <x v="0"/>
  </r>
  <r>
    <s v="OD20233"/>
    <d v="2024-03-03T00:00:00"/>
    <x v="7"/>
    <x v="3"/>
    <x v="14"/>
    <x v="4"/>
    <n v="1"/>
    <n v="4414.68"/>
    <n v="0.1"/>
    <x v="2"/>
    <x v="1"/>
    <x v="1"/>
    <n v="3973.21"/>
    <x v="0"/>
  </r>
  <r>
    <s v="OD20234"/>
    <d v="2024-12-29T00:00:00"/>
    <x v="4"/>
    <x v="2"/>
    <x v="3"/>
    <x v="7"/>
    <n v="2"/>
    <n v="3616.22"/>
    <n v="0.25"/>
    <x v="0"/>
    <x v="2"/>
    <x v="0"/>
    <n v="5424.33"/>
    <x v="0"/>
  </r>
  <r>
    <s v="OD20235"/>
    <d v="2024-11-26T00:00:00"/>
    <x v="0"/>
    <x v="3"/>
    <x v="14"/>
    <x v="5"/>
    <n v="4"/>
    <n v="5442.57"/>
    <n v="0.15"/>
    <x v="0"/>
    <x v="1"/>
    <x v="0"/>
    <n v="18504.740000000002"/>
    <x v="2"/>
  </r>
  <r>
    <s v="OD20236"/>
    <d v="2024-12-29T00:00:00"/>
    <x v="4"/>
    <x v="0"/>
    <x v="17"/>
    <x v="1"/>
    <n v="4"/>
    <n v="2048.36"/>
    <n v="0.15"/>
    <x v="0"/>
    <x v="0"/>
    <x v="1"/>
    <n v="6964.42"/>
    <x v="0"/>
  </r>
  <r>
    <s v="OD20237"/>
    <d v="2024-05-16T00:00:00"/>
    <x v="9"/>
    <x v="2"/>
    <x v="2"/>
    <x v="3"/>
    <n v="2"/>
    <n v="6609.21"/>
    <n v="0.1"/>
    <x v="0"/>
    <x v="4"/>
    <x v="1"/>
    <n v="11896.58"/>
    <x v="2"/>
  </r>
  <r>
    <s v="OD20238"/>
    <d v="2024-04-17T00:00:00"/>
    <x v="8"/>
    <x v="1"/>
    <x v="9"/>
    <x v="2"/>
    <n v="6"/>
    <n v="2978.86"/>
    <n v="0.25"/>
    <x v="0"/>
    <x v="3"/>
    <x v="1"/>
    <n v="13404.87"/>
    <x v="2"/>
  </r>
  <r>
    <s v="OD20239"/>
    <d v="2024-03-18T00:00:00"/>
    <x v="7"/>
    <x v="3"/>
    <x v="12"/>
    <x v="1"/>
    <n v="5"/>
    <n v="5927.73"/>
    <n v="0"/>
    <x v="0"/>
    <x v="0"/>
    <x v="1"/>
    <n v="29638.65"/>
    <x v="1"/>
  </r>
  <r>
    <s v="OD20240"/>
    <d v="2024-04-13T00:00:00"/>
    <x v="8"/>
    <x v="3"/>
    <x v="4"/>
    <x v="6"/>
    <n v="6"/>
    <n v="5562.25"/>
    <n v="0"/>
    <x v="0"/>
    <x v="3"/>
    <x v="0"/>
    <n v="33373.5"/>
    <x v="1"/>
  </r>
  <r>
    <s v="OD20241"/>
    <d v="2024-03-02T00:00:00"/>
    <x v="7"/>
    <x v="0"/>
    <x v="17"/>
    <x v="5"/>
    <n v="4"/>
    <n v="7769.12"/>
    <n v="0.2"/>
    <x v="0"/>
    <x v="4"/>
    <x v="0"/>
    <n v="24861.18"/>
    <x v="1"/>
  </r>
  <r>
    <s v="OD20242"/>
    <d v="2024-02-09T00:00:00"/>
    <x v="10"/>
    <x v="2"/>
    <x v="7"/>
    <x v="3"/>
    <n v="3"/>
    <n v="7768.35"/>
    <n v="0.1"/>
    <x v="1"/>
    <x v="3"/>
    <x v="1"/>
    <n v="20974.55"/>
    <x v="1"/>
  </r>
  <r>
    <s v="OD20243"/>
    <d v="2024-10-11T00:00:00"/>
    <x v="5"/>
    <x v="2"/>
    <x v="3"/>
    <x v="0"/>
    <n v="3"/>
    <n v="2247.58"/>
    <n v="0.15"/>
    <x v="1"/>
    <x v="0"/>
    <x v="1"/>
    <n v="5731.33"/>
    <x v="0"/>
  </r>
  <r>
    <s v="OD20244"/>
    <d v="2024-10-03T00:00:00"/>
    <x v="5"/>
    <x v="4"/>
    <x v="5"/>
    <x v="7"/>
    <n v="4"/>
    <n v="3156.36"/>
    <n v="0.05"/>
    <x v="3"/>
    <x v="3"/>
    <x v="1"/>
    <n v="11994.17"/>
    <x v="2"/>
  </r>
  <r>
    <s v="OD20245"/>
    <d v="2024-12-21T00:00:00"/>
    <x v="4"/>
    <x v="2"/>
    <x v="20"/>
    <x v="1"/>
    <n v="5"/>
    <n v="5880.48"/>
    <n v="0.1"/>
    <x v="0"/>
    <x v="3"/>
    <x v="1"/>
    <n v="26462.16"/>
    <x v="1"/>
  </r>
  <r>
    <s v="OD20246"/>
    <d v="2024-10-08T00:00:00"/>
    <x v="5"/>
    <x v="2"/>
    <x v="7"/>
    <x v="3"/>
    <n v="6"/>
    <n v="2627.59"/>
    <n v="0"/>
    <x v="3"/>
    <x v="0"/>
    <x v="1"/>
    <n v="15765.54"/>
    <x v="2"/>
  </r>
  <r>
    <s v="OD20247"/>
    <d v="2024-07-20T00:00:00"/>
    <x v="6"/>
    <x v="4"/>
    <x v="22"/>
    <x v="5"/>
    <n v="5"/>
    <n v="2241.31"/>
    <n v="0.15"/>
    <x v="0"/>
    <x v="2"/>
    <x v="1"/>
    <n v="9525.57"/>
    <x v="0"/>
  </r>
  <r>
    <s v="OD20248"/>
    <d v="2024-10-19T00:00:00"/>
    <x v="5"/>
    <x v="4"/>
    <x v="22"/>
    <x v="3"/>
    <n v="2"/>
    <n v="7995.38"/>
    <n v="0"/>
    <x v="2"/>
    <x v="1"/>
    <x v="1"/>
    <n v="15990.76"/>
    <x v="2"/>
  </r>
  <r>
    <s v="OD20249"/>
    <d v="2024-06-13T00:00:00"/>
    <x v="11"/>
    <x v="4"/>
    <x v="24"/>
    <x v="2"/>
    <n v="4"/>
    <n v="2989.84"/>
    <n v="0.2"/>
    <x v="0"/>
    <x v="4"/>
    <x v="1"/>
    <n v="9567.49"/>
    <x v="0"/>
  </r>
  <r>
    <s v="OD20250"/>
    <d v="2024-07-21T00:00:00"/>
    <x v="6"/>
    <x v="4"/>
    <x v="6"/>
    <x v="1"/>
    <n v="3"/>
    <n v="7976.15"/>
    <n v="0"/>
    <x v="3"/>
    <x v="3"/>
    <x v="1"/>
    <n v="23928.45"/>
    <x v="1"/>
  </r>
  <r>
    <s v="OD20251"/>
    <d v="2024-11-14T00:00:00"/>
    <x v="0"/>
    <x v="0"/>
    <x v="16"/>
    <x v="6"/>
    <n v="3"/>
    <n v="4258.58"/>
    <n v="0.2"/>
    <x v="0"/>
    <x v="1"/>
    <x v="1"/>
    <n v="10220.59"/>
    <x v="2"/>
  </r>
  <r>
    <s v="OD20252"/>
    <d v="2024-05-10T00:00:00"/>
    <x v="9"/>
    <x v="2"/>
    <x v="7"/>
    <x v="7"/>
    <n v="2"/>
    <n v="2233.42"/>
    <n v="0.25"/>
    <x v="0"/>
    <x v="2"/>
    <x v="1"/>
    <n v="3350.13"/>
    <x v="0"/>
  </r>
  <r>
    <s v="OD20253"/>
    <d v="2024-07-06T00:00:00"/>
    <x v="6"/>
    <x v="3"/>
    <x v="13"/>
    <x v="0"/>
    <n v="1"/>
    <n v="5743.41"/>
    <n v="0.1"/>
    <x v="3"/>
    <x v="4"/>
    <x v="1"/>
    <n v="5169.07"/>
    <x v="0"/>
  </r>
  <r>
    <s v="OD20254"/>
    <d v="2024-02-02T00:00:00"/>
    <x v="10"/>
    <x v="2"/>
    <x v="2"/>
    <x v="7"/>
    <n v="6"/>
    <n v="1744.56"/>
    <n v="0"/>
    <x v="0"/>
    <x v="3"/>
    <x v="0"/>
    <n v="10467.36"/>
    <x v="2"/>
  </r>
  <r>
    <s v="OD20255"/>
    <d v="2024-08-24T00:00:00"/>
    <x v="2"/>
    <x v="2"/>
    <x v="20"/>
    <x v="3"/>
    <n v="6"/>
    <n v="6740.7"/>
    <n v="0.2"/>
    <x v="3"/>
    <x v="3"/>
    <x v="1"/>
    <n v="32355.360000000001"/>
    <x v="1"/>
  </r>
  <r>
    <s v="OD20256"/>
    <d v="2024-12-14T00:00:00"/>
    <x v="4"/>
    <x v="1"/>
    <x v="18"/>
    <x v="2"/>
    <n v="3"/>
    <n v="4497.72"/>
    <n v="0.2"/>
    <x v="3"/>
    <x v="3"/>
    <x v="1"/>
    <n v="10794.53"/>
    <x v="2"/>
  </r>
  <r>
    <s v="OD20257"/>
    <d v="2024-01-29T00:00:00"/>
    <x v="1"/>
    <x v="3"/>
    <x v="12"/>
    <x v="3"/>
    <n v="6"/>
    <n v="1718.71"/>
    <n v="0.15"/>
    <x v="3"/>
    <x v="1"/>
    <x v="1"/>
    <n v="8765.42"/>
    <x v="0"/>
  </r>
  <r>
    <s v="OD20258"/>
    <d v="2024-06-20T00:00:00"/>
    <x v="11"/>
    <x v="3"/>
    <x v="12"/>
    <x v="7"/>
    <n v="2"/>
    <n v="4218.0200000000004"/>
    <n v="0"/>
    <x v="0"/>
    <x v="2"/>
    <x v="1"/>
    <n v="8436.0400000000009"/>
    <x v="0"/>
  </r>
  <r>
    <s v="OD20259"/>
    <d v="2024-12-14T00:00:00"/>
    <x v="4"/>
    <x v="2"/>
    <x v="19"/>
    <x v="0"/>
    <n v="1"/>
    <n v="2558.75"/>
    <n v="0.1"/>
    <x v="3"/>
    <x v="3"/>
    <x v="1"/>
    <n v="2302.88"/>
    <x v="0"/>
  </r>
  <r>
    <s v="OD20260"/>
    <d v="2024-12-02T00:00:00"/>
    <x v="4"/>
    <x v="2"/>
    <x v="7"/>
    <x v="3"/>
    <n v="4"/>
    <n v="5722.51"/>
    <n v="0.05"/>
    <x v="0"/>
    <x v="3"/>
    <x v="1"/>
    <n v="21745.54"/>
    <x v="1"/>
  </r>
  <r>
    <s v="OD20261"/>
    <d v="2024-07-28T00:00:00"/>
    <x v="6"/>
    <x v="3"/>
    <x v="4"/>
    <x v="5"/>
    <n v="5"/>
    <n v="6613.59"/>
    <n v="0"/>
    <x v="0"/>
    <x v="4"/>
    <x v="1"/>
    <n v="33067.949999999997"/>
    <x v="1"/>
  </r>
  <r>
    <s v="OD20262"/>
    <d v="2024-04-14T00:00:00"/>
    <x v="8"/>
    <x v="4"/>
    <x v="5"/>
    <x v="6"/>
    <n v="1"/>
    <n v="1564.06"/>
    <n v="0"/>
    <x v="0"/>
    <x v="3"/>
    <x v="1"/>
    <n v="1564.06"/>
    <x v="0"/>
  </r>
  <r>
    <s v="OD20263"/>
    <d v="2024-04-18T00:00:00"/>
    <x v="8"/>
    <x v="4"/>
    <x v="24"/>
    <x v="1"/>
    <n v="5"/>
    <n v="6730.68"/>
    <n v="0.05"/>
    <x v="1"/>
    <x v="3"/>
    <x v="1"/>
    <n v="31970.73"/>
    <x v="1"/>
  </r>
  <r>
    <s v="OD20264"/>
    <d v="2024-12-17T00:00:00"/>
    <x v="4"/>
    <x v="1"/>
    <x v="10"/>
    <x v="3"/>
    <n v="4"/>
    <n v="1365.47"/>
    <n v="0"/>
    <x v="1"/>
    <x v="4"/>
    <x v="1"/>
    <n v="5461.88"/>
    <x v="0"/>
  </r>
  <r>
    <s v="OD20265"/>
    <d v="2024-05-12T00:00:00"/>
    <x v="9"/>
    <x v="2"/>
    <x v="2"/>
    <x v="1"/>
    <n v="3"/>
    <n v="4457.54"/>
    <n v="0.1"/>
    <x v="0"/>
    <x v="2"/>
    <x v="1"/>
    <n v="12035.36"/>
    <x v="2"/>
  </r>
  <r>
    <s v="OD20266"/>
    <d v="2024-12-01T00:00:00"/>
    <x v="4"/>
    <x v="1"/>
    <x v="10"/>
    <x v="6"/>
    <n v="5"/>
    <n v="5599.41"/>
    <n v="0.1"/>
    <x v="3"/>
    <x v="3"/>
    <x v="1"/>
    <n v="25197.35"/>
    <x v="1"/>
  </r>
  <r>
    <s v="OD20267"/>
    <d v="2024-05-28T00:00:00"/>
    <x v="9"/>
    <x v="3"/>
    <x v="12"/>
    <x v="5"/>
    <n v="4"/>
    <n v="2881.4"/>
    <n v="0.25"/>
    <x v="0"/>
    <x v="3"/>
    <x v="1"/>
    <n v="8644.2000000000007"/>
    <x v="0"/>
  </r>
  <r>
    <s v="OD20268"/>
    <d v="2024-04-26T00:00:00"/>
    <x v="8"/>
    <x v="1"/>
    <x v="18"/>
    <x v="1"/>
    <n v="5"/>
    <n v="7408.16"/>
    <n v="0"/>
    <x v="2"/>
    <x v="2"/>
    <x v="0"/>
    <n v="37040.800000000003"/>
    <x v="1"/>
  </r>
  <r>
    <s v="OD20269"/>
    <d v="2024-08-18T00:00:00"/>
    <x v="2"/>
    <x v="1"/>
    <x v="10"/>
    <x v="7"/>
    <n v="4"/>
    <n v="2092.06"/>
    <n v="0.15"/>
    <x v="0"/>
    <x v="0"/>
    <x v="0"/>
    <n v="7113"/>
    <x v="0"/>
  </r>
  <r>
    <s v="OD20270"/>
    <d v="2024-10-31T00:00:00"/>
    <x v="5"/>
    <x v="2"/>
    <x v="3"/>
    <x v="4"/>
    <n v="4"/>
    <n v="3771.97"/>
    <n v="0"/>
    <x v="0"/>
    <x v="4"/>
    <x v="1"/>
    <n v="15087.88"/>
    <x v="2"/>
  </r>
  <r>
    <s v="OD20271"/>
    <d v="2024-07-03T00:00:00"/>
    <x v="6"/>
    <x v="3"/>
    <x v="21"/>
    <x v="4"/>
    <n v="2"/>
    <n v="5352.55"/>
    <n v="0"/>
    <x v="0"/>
    <x v="2"/>
    <x v="0"/>
    <n v="10705.1"/>
    <x v="2"/>
  </r>
  <r>
    <s v="OD20272"/>
    <d v="2024-03-19T00:00:00"/>
    <x v="7"/>
    <x v="3"/>
    <x v="12"/>
    <x v="5"/>
    <n v="4"/>
    <n v="2273.1799999999998"/>
    <n v="0"/>
    <x v="0"/>
    <x v="2"/>
    <x v="1"/>
    <n v="9092.7199999999993"/>
    <x v="0"/>
  </r>
  <r>
    <s v="OD20273"/>
    <d v="2024-03-06T00:00:00"/>
    <x v="7"/>
    <x v="0"/>
    <x v="16"/>
    <x v="6"/>
    <n v="2"/>
    <n v="5853.66"/>
    <n v="0.1"/>
    <x v="0"/>
    <x v="4"/>
    <x v="1"/>
    <n v="10536.59"/>
    <x v="2"/>
  </r>
  <r>
    <s v="OD20274"/>
    <d v="2024-03-19T00:00:00"/>
    <x v="7"/>
    <x v="1"/>
    <x v="1"/>
    <x v="4"/>
    <n v="3"/>
    <n v="7985.54"/>
    <n v="0.2"/>
    <x v="3"/>
    <x v="4"/>
    <x v="1"/>
    <n v="19165.3"/>
    <x v="2"/>
  </r>
  <r>
    <s v="OD20275"/>
    <d v="2024-05-05T00:00:00"/>
    <x v="9"/>
    <x v="1"/>
    <x v="11"/>
    <x v="2"/>
    <n v="1"/>
    <n v="4853.55"/>
    <n v="0"/>
    <x v="0"/>
    <x v="3"/>
    <x v="1"/>
    <n v="4853.55"/>
    <x v="0"/>
  </r>
  <r>
    <s v="OD20276"/>
    <d v="2024-06-11T00:00:00"/>
    <x v="11"/>
    <x v="2"/>
    <x v="2"/>
    <x v="2"/>
    <n v="4"/>
    <n v="6324.83"/>
    <n v="0"/>
    <x v="0"/>
    <x v="2"/>
    <x v="1"/>
    <n v="25299.32"/>
    <x v="1"/>
  </r>
  <r>
    <s v="OD20277"/>
    <d v="2024-12-17T00:00:00"/>
    <x v="4"/>
    <x v="1"/>
    <x v="11"/>
    <x v="6"/>
    <n v="3"/>
    <n v="5712.49"/>
    <n v="0"/>
    <x v="0"/>
    <x v="3"/>
    <x v="0"/>
    <n v="17137.47"/>
    <x v="2"/>
  </r>
  <r>
    <s v="OD20278"/>
    <d v="2024-07-29T00:00:00"/>
    <x v="6"/>
    <x v="1"/>
    <x v="1"/>
    <x v="7"/>
    <n v="1"/>
    <n v="5259.93"/>
    <n v="0.15"/>
    <x v="2"/>
    <x v="1"/>
    <x v="1"/>
    <n v="4470.9399999999996"/>
    <x v="0"/>
  </r>
  <r>
    <s v="OD20279"/>
    <d v="2024-12-14T00:00:00"/>
    <x v="4"/>
    <x v="0"/>
    <x v="17"/>
    <x v="3"/>
    <n v="5"/>
    <n v="1443.09"/>
    <n v="0.2"/>
    <x v="1"/>
    <x v="4"/>
    <x v="0"/>
    <n v="5772.36"/>
    <x v="0"/>
  </r>
  <r>
    <s v="OD20280"/>
    <d v="2024-05-02T00:00:00"/>
    <x v="9"/>
    <x v="3"/>
    <x v="21"/>
    <x v="6"/>
    <n v="2"/>
    <n v="4762.8599999999997"/>
    <n v="0.1"/>
    <x v="3"/>
    <x v="0"/>
    <x v="1"/>
    <n v="8573.15"/>
    <x v="0"/>
  </r>
  <r>
    <s v="OD20281"/>
    <d v="2024-04-26T00:00:00"/>
    <x v="8"/>
    <x v="4"/>
    <x v="5"/>
    <x v="5"/>
    <n v="6"/>
    <n v="5424.68"/>
    <n v="0.15"/>
    <x v="1"/>
    <x v="0"/>
    <x v="0"/>
    <n v="32547.93"/>
    <x v="1"/>
  </r>
  <r>
    <s v="OD20282"/>
    <d v="2024-07-29T00:00:00"/>
    <x v="6"/>
    <x v="3"/>
    <x v="13"/>
    <x v="0"/>
    <n v="5"/>
    <n v="2500.75"/>
    <n v="0.05"/>
    <x v="0"/>
    <x v="3"/>
    <x v="1"/>
    <n v="11878.56"/>
    <x v="2"/>
  </r>
  <r>
    <s v="OD20283"/>
    <d v="2024-04-05T00:00:00"/>
    <x v="8"/>
    <x v="0"/>
    <x v="17"/>
    <x v="1"/>
    <n v="6"/>
    <n v="7133.01"/>
    <n v="0.2"/>
    <x v="1"/>
    <x v="0"/>
    <x v="1"/>
    <n v="34238.449999999997"/>
    <x v="1"/>
  </r>
  <r>
    <s v="OD20284"/>
    <d v="2024-03-18T00:00:00"/>
    <x v="7"/>
    <x v="4"/>
    <x v="22"/>
    <x v="7"/>
    <n v="3"/>
    <n v="1464.22"/>
    <n v="0.15"/>
    <x v="2"/>
    <x v="4"/>
    <x v="1"/>
    <n v="3733.76"/>
    <x v="0"/>
  </r>
  <r>
    <s v="OD20285"/>
    <d v="2024-01-01T00:00:00"/>
    <x v="1"/>
    <x v="1"/>
    <x v="18"/>
    <x v="2"/>
    <n v="2"/>
    <n v="964.37"/>
    <n v="0.1"/>
    <x v="3"/>
    <x v="4"/>
    <x v="1"/>
    <n v="1735.87"/>
    <x v="0"/>
  </r>
  <r>
    <s v="OD20286"/>
    <d v="2024-02-08T00:00:00"/>
    <x v="10"/>
    <x v="1"/>
    <x v="10"/>
    <x v="0"/>
    <n v="5"/>
    <n v="5048.54"/>
    <n v="0.25"/>
    <x v="0"/>
    <x v="0"/>
    <x v="0"/>
    <n v="18932.03"/>
    <x v="2"/>
  </r>
  <r>
    <s v="OD20287"/>
    <d v="2024-12-20T00:00:00"/>
    <x v="4"/>
    <x v="4"/>
    <x v="5"/>
    <x v="7"/>
    <n v="1"/>
    <n v="597.29"/>
    <n v="0"/>
    <x v="2"/>
    <x v="4"/>
    <x v="1"/>
    <n v="597.29"/>
    <x v="0"/>
  </r>
  <r>
    <s v="OD20288"/>
    <d v="2024-03-11T00:00:00"/>
    <x v="7"/>
    <x v="3"/>
    <x v="21"/>
    <x v="3"/>
    <n v="1"/>
    <n v="7630.86"/>
    <n v="0.1"/>
    <x v="0"/>
    <x v="1"/>
    <x v="1"/>
    <n v="6867.77"/>
    <x v="0"/>
  </r>
  <r>
    <s v="OD20289"/>
    <d v="2024-08-03T00:00:00"/>
    <x v="2"/>
    <x v="1"/>
    <x v="10"/>
    <x v="2"/>
    <n v="5"/>
    <n v="7828.49"/>
    <n v="0"/>
    <x v="1"/>
    <x v="2"/>
    <x v="1"/>
    <n v="39142.449999999997"/>
    <x v="1"/>
  </r>
  <r>
    <s v="OD20290"/>
    <d v="2024-01-25T00:00:00"/>
    <x v="1"/>
    <x v="1"/>
    <x v="9"/>
    <x v="3"/>
    <n v="5"/>
    <n v="2875.87"/>
    <n v="0.05"/>
    <x v="0"/>
    <x v="1"/>
    <x v="1"/>
    <n v="13660.38"/>
    <x v="2"/>
  </r>
  <r>
    <s v="OD20291"/>
    <d v="2024-07-15T00:00:00"/>
    <x v="6"/>
    <x v="3"/>
    <x v="4"/>
    <x v="1"/>
    <n v="3"/>
    <n v="7702.69"/>
    <n v="0.05"/>
    <x v="0"/>
    <x v="0"/>
    <x v="1"/>
    <n v="21952.67"/>
    <x v="1"/>
  </r>
  <r>
    <s v="OD20292"/>
    <d v="2024-07-20T00:00:00"/>
    <x v="6"/>
    <x v="3"/>
    <x v="21"/>
    <x v="7"/>
    <n v="3"/>
    <n v="3176.31"/>
    <n v="0.25"/>
    <x v="0"/>
    <x v="0"/>
    <x v="1"/>
    <n v="7146.7"/>
    <x v="0"/>
  </r>
  <r>
    <s v="OD20293"/>
    <d v="2024-05-22T00:00:00"/>
    <x v="9"/>
    <x v="0"/>
    <x v="17"/>
    <x v="4"/>
    <n v="5"/>
    <n v="3841.22"/>
    <n v="0.2"/>
    <x v="0"/>
    <x v="2"/>
    <x v="0"/>
    <n v="15364.88"/>
    <x v="2"/>
  </r>
  <r>
    <s v="OD20294"/>
    <d v="2024-01-22T00:00:00"/>
    <x v="1"/>
    <x v="0"/>
    <x v="16"/>
    <x v="2"/>
    <n v="5"/>
    <n v="6639.17"/>
    <n v="0.1"/>
    <x v="0"/>
    <x v="4"/>
    <x v="0"/>
    <n v="29876.26"/>
    <x v="1"/>
  </r>
  <r>
    <s v="OD20295"/>
    <d v="2024-06-06T00:00:00"/>
    <x v="11"/>
    <x v="2"/>
    <x v="19"/>
    <x v="5"/>
    <n v="2"/>
    <n v="5211.46"/>
    <n v="0"/>
    <x v="3"/>
    <x v="0"/>
    <x v="1"/>
    <n v="10422.92"/>
    <x v="2"/>
  </r>
  <r>
    <s v="OD20296"/>
    <d v="2024-12-30T00:00:00"/>
    <x v="4"/>
    <x v="0"/>
    <x v="23"/>
    <x v="4"/>
    <n v="2"/>
    <n v="4324.57"/>
    <n v="0.2"/>
    <x v="1"/>
    <x v="0"/>
    <x v="0"/>
    <n v="6919.31"/>
    <x v="0"/>
  </r>
  <r>
    <s v="OD20297"/>
    <d v="2024-10-22T00:00:00"/>
    <x v="5"/>
    <x v="2"/>
    <x v="3"/>
    <x v="6"/>
    <n v="4"/>
    <n v="3318.89"/>
    <n v="0.1"/>
    <x v="1"/>
    <x v="1"/>
    <x v="0"/>
    <n v="11948"/>
    <x v="2"/>
  </r>
  <r>
    <s v="OD20298"/>
    <d v="2024-05-27T00:00:00"/>
    <x v="9"/>
    <x v="0"/>
    <x v="17"/>
    <x v="0"/>
    <n v="2"/>
    <n v="5232.5200000000004"/>
    <n v="0.2"/>
    <x v="2"/>
    <x v="4"/>
    <x v="1"/>
    <n v="8372.0300000000007"/>
    <x v="0"/>
  </r>
  <r>
    <s v="OD20299"/>
    <d v="2024-06-07T00:00:00"/>
    <x v="11"/>
    <x v="2"/>
    <x v="2"/>
    <x v="6"/>
    <n v="1"/>
    <n v="2973.97"/>
    <n v="0"/>
    <x v="0"/>
    <x v="1"/>
    <x v="0"/>
    <n v="2973.97"/>
    <x v="0"/>
  </r>
  <r>
    <s v="OD20300"/>
    <d v="2024-05-20T00:00:00"/>
    <x v="9"/>
    <x v="4"/>
    <x v="24"/>
    <x v="3"/>
    <n v="5"/>
    <n v="613.94000000000005"/>
    <n v="0.25"/>
    <x v="2"/>
    <x v="3"/>
    <x v="1"/>
    <n v="2302.2800000000002"/>
    <x v="0"/>
  </r>
  <r>
    <s v="OD20301"/>
    <d v="2024-06-18T00:00:00"/>
    <x v="11"/>
    <x v="1"/>
    <x v="10"/>
    <x v="7"/>
    <n v="5"/>
    <n v="4612.3500000000004"/>
    <n v="0.1"/>
    <x v="2"/>
    <x v="4"/>
    <x v="0"/>
    <n v="20755.580000000002"/>
    <x v="1"/>
  </r>
  <r>
    <s v="OD20302"/>
    <d v="2024-09-15T00:00:00"/>
    <x v="3"/>
    <x v="1"/>
    <x v="11"/>
    <x v="2"/>
    <n v="3"/>
    <n v="3477.71"/>
    <n v="0"/>
    <x v="1"/>
    <x v="4"/>
    <x v="1"/>
    <n v="10433.129999999999"/>
    <x v="2"/>
  </r>
  <r>
    <s v="OD20303"/>
    <d v="2024-09-29T00:00:00"/>
    <x v="3"/>
    <x v="1"/>
    <x v="1"/>
    <x v="7"/>
    <n v="3"/>
    <n v="5313.93"/>
    <n v="0.1"/>
    <x v="0"/>
    <x v="4"/>
    <x v="1"/>
    <n v="14347.61"/>
    <x v="2"/>
  </r>
  <r>
    <s v="OD20304"/>
    <d v="2024-02-27T00:00:00"/>
    <x v="10"/>
    <x v="1"/>
    <x v="10"/>
    <x v="6"/>
    <n v="4"/>
    <n v="1449.71"/>
    <n v="0.1"/>
    <x v="0"/>
    <x v="1"/>
    <x v="1"/>
    <n v="5218.96"/>
    <x v="0"/>
  </r>
  <r>
    <s v="OD20305"/>
    <d v="2024-01-12T00:00:00"/>
    <x v="1"/>
    <x v="1"/>
    <x v="9"/>
    <x v="1"/>
    <n v="6"/>
    <n v="5821.88"/>
    <n v="0"/>
    <x v="0"/>
    <x v="4"/>
    <x v="1"/>
    <n v="34931.279999999999"/>
    <x v="1"/>
  </r>
  <r>
    <s v="OD20306"/>
    <d v="2024-10-16T00:00:00"/>
    <x v="5"/>
    <x v="2"/>
    <x v="7"/>
    <x v="4"/>
    <n v="6"/>
    <n v="2628.08"/>
    <n v="0.15"/>
    <x v="0"/>
    <x v="3"/>
    <x v="1"/>
    <n v="13403.21"/>
    <x v="2"/>
  </r>
  <r>
    <s v="OD20307"/>
    <d v="2024-03-19T00:00:00"/>
    <x v="7"/>
    <x v="3"/>
    <x v="21"/>
    <x v="5"/>
    <n v="3"/>
    <n v="6253.14"/>
    <n v="0.25"/>
    <x v="3"/>
    <x v="1"/>
    <x v="0"/>
    <n v="14069.57"/>
    <x v="2"/>
  </r>
  <r>
    <s v="OD20308"/>
    <d v="2024-09-17T00:00:00"/>
    <x v="3"/>
    <x v="2"/>
    <x v="20"/>
    <x v="1"/>
    <n v="4"/>
    <n v="1792.92"/>
    <n v="0.1"/>
    <x v="1"/>
    <x v="4"/>
    <x v="1"/>
    <n v="6454.51"/>
    <x v="0"/>
  </r>
  <r>
    <s v="OD20309"/>
    <d v="2024-03-09T00:00:00"/>
    <x v="7"/>
    <x v="4"/>
    <x v="24"/>
    <x v="0"/>
    <n v="2"/>
    <n v="251.07"/>
    <n v="0.1"/>
    <x v="1"/>
    <x v="3"/>
    <x v="1"/>
    <n v="451.93"/>
    <x v="0"/>
  </r>
  <r>
    <s v="OD20310"/>
    <d v="2024-06-14T00:00:00"/>
    <x v="11"/>
    <x v="3"/>
    <x v="12"/>
    <x v="5"/>
    <n v="3"/>
    <n v="5052.96"/>
    <n v="0.25"/>
    <x v="3"/>
    <x v="2"/>
    <x v="1"/>
    <n v="11369.16"/>
    <x v="2"/>
  </r>
  <r>
    <s v="OD20311"/>
    <d v="2024-04-12T00:00:00"/>
    <x v="8"/>
    <x v="3"/>
    <x v="14"/>
    <x v="4"/>
    <n v="4"/>
    <n v="3732.8"/>
    <n v="0.25"/>
    <x v="0"/>
    <x v="1"/>
    <x v="1"/>
    <n v="11198.4"/>
    <x v="2"/>
  </r>
  <r>
    <s v="OD20312"/>
    <d v="2024-03-01T00:00:00"/>
    <x v="7"/>
    <x v="4"/>
    <x v="8"/>
    <x v="4"/>
    <n v="4"/>
    <n v="4852.71"/>
    <n v="0"/>
    <x v="1"/>
    <x v="1"/>
    <x v="0"/>
    <n v="19410.84"/>
    <x v="2"/>
  </r>
  <r>
    <s v="OD20313"/>
    <d v="2024-01-01T00:00:00"/>
    <x v="1"/>
    <x v="1"/>
    <x v="1"/>
    <x v="6"/>
    <n v="1"/>
    <n v="3812.29"/>
    <n v="0.2"/>
    <x v="0"/>
    <x v="4"/>
    <x v="1"/>
    <n v="3049.83"/>
    <x v="0"/>
  </r>
  <r>
    <s v="OD20314"/>
    <d v="2024-08-27T00:00:00"/>
    <x v="2"/>
    <x v="0"/>
    <x v="17"/>
    <x v="4"/>
    <n v="1"/>
    <n v="3908.95"/>
    <n v="0"/>
    <x v="1"/>
    <x v="2"/>
    <x v="0"/>
    <n v="3908.95"/>
    <x v="0"/>
  </r>
  <r>
    <s v="OD20315"/>
    <d v="2024-02-06T00:00:00"/>
    <x v="10"/>
    <x v="2"/>
    <x v="19"/>
    <x v="2"/>
    <n v="1"/>
    <n v="4513.7700000000004"/>
    <n v="0"/>
    <x v="2"/>
    <x v="3"/>
    <x v="1"/>
    <n v="4513.7700000000004"/>
    <x v="0"/>
  </r>
  <r>
    <s v="OD20316"/>
    <d v="2024-10-13T00:00:00"/>
    <x v="5"/>
    <x v="4"/>
    <x v="5"/>
    <x v="2"/>
    <n v="6"/>
    <n v="1786.99"/>
    <n v="0.05"/>
    <x v="2"/>
    <x v="1"/>
    <x v="1"/>
    <n v="10185.84"/>
    <x v="2"/>
  </r>
  <r>
    <s v="OD20317"/>
    <d v="2024-10-06T00:00:00"/>
    <x v="5"/>
    <x v="3"/>
    <x v="4"/>
    <x v="5"/>
    <n v="5"/>
    <n v="2917.34"/>
    <n v="0"/>
    <x v="0"/>
    <x v="2"/>
    <x v="1"/>
    <n v="14586.7"/>
    <x v="2"/>
  </r>
  <r>
    <s v="OD20318"/>
    <d v="2024-03-16T00:00:00"/>
    <x v="7"/>
    <x v="0"/>
    <x v="23"/>
    <x v="1"/>
    <n v="4"/>
    <n v="4910.45"/>
    <n v="0.15"/>
    <x v="0"/>
    <x v="4"/>
    <x v="1"/>
    <n v="16695.53"/>
    <x v="2"/>
  </r>
  <r>
    <s v="OD20319"/>
    <d v="2024-07-27T00:00:00"/>
    <x v="6"/>
    <x v="2"/>
    <x v="19"/>
    <x v="3"/>
    <n v="5"/>
    <n v="4659.92"/>
    <n v="0.1"/>
    <x v="1"/>
    <x v="3"/>
    <x v="1"/>
    <n v="20969.64"/>
    <x v="1"/>
  </r>
  <r>
    <s v="OD20320"/>
    <d v="2024-11-12T00:00:00"/>
    <x v="0"/>
    <x v="4"/>
    <x v="6"/>
    <x v="4"/>
    <n v="3"/>
    <n v="3617.65"/>
    <n v="0.05"/>
    <x v="0"/>
    <x v="1"/>
    <x v="1"/>
    <n v="10310.299999999999"/>
    <x v="2"/>
  </r>
  <r>
    <s v="OD20321"/>
    <d v="2024-05-20T00:00:00"/>
    <x v="9"/>
    <x v="1"/>
    <x v="18"/>
    <x v="7"/>
    <n v="2"/>
    <n v="253.31"/>
    <n v="0"/>
    <x v="0"/>
    <x v="1"/>
    <x v="1"/>
    <n v="506.62"/>
    <x v="0"/>
  </r>
  <r>
    <s v="OD20322"/>
    <d v="2024-02-23T00:00:00"/>
    <x v="10"/>
    <x v="3"/>
    <x v="4"/>
    <x v="4"/>
    <n v="1"/>
    <n v="6629.72"/>
    <n v="0.15"/>
    <x v="3"/>
    <x v="1"/>
    <x v="1"/>
    <n v="5635.26"/>
    <x v="0"/>
  </r>
  <r>
    <s v="OD20323"/>
    <d v="2024-07-27T00:00:00"/>
    <x v="6"/>
    <x v="2"/>
    <x v="3"/>
    <x v="6"/>
    <n v="5"/>
    <n v="5564.9"/>
    <n v="0"/>
    <x v="1"/>
    <x v="2"/>
    <x v="1"/>
    <n v="27824.5"/>
    <x v="1"/>
  </r>
  <r>
    <s v="OD20324"/>
    <d v="2024-11-10T00:00:00"/>
    <x v="0"/>
    <x v="3"/>
    <x v="12"/>
    <x v="3"/>
    <n v="6"/>
    <n v="1456.5"/>
    <n v="0.1"/>
    <x v="3"/>
    <x v="1"/>
    <x v="1"/>
    <n v="7865.1"/>
    <x v="0"/>
  </r>
  <r>
    <s v="OD20325"/>
    <d v="2024-12-01T00:00:00"/>
    <x v="4"/>
    <x v="2"/>
    <x v="20"/>
    <x v="4"/>
    <n v="1"/>
    <n v="4843.1899999999996"/>
    <n v="0.2"/>
    <x v="0"/>
    <x v="3"/>
    <x v="1"/>
    <n v="3874.55"/>
    <x v="0"/>
  </r>
  <r>
    <s v="OD20326"/>
    <d v="2024-11-27T00:00:00"/>
    <x v="0"/>
    <x v="2"/>
    <x v="3"/>
    <x v="3"/>
    <n v="5"/>
    <n v="5547.18"/>
    <n v="0.1"/>
    <x v="3"/>
    <x v="1"/>
    <x v="1"/>
    <n v="24962.31"/>
    <x v="1"/>
  </r>
  <r>
    <s v="OD20327"/>
    <d v="2024-06-14T00:00:00"/>
    <x v="11"/>
    <x v="3"/>
    <x v="13"/>
    <x v="7"/>
    <n v="2"/>
    <n v="390.97"/>
    <n v="0.1"/>
    <x v="0"/>
    <x v="3"/>
    <x v="1"/>
    <n v="703.75"/>
    <x v="0"/>
  </r>
  <r>
    <s v="OD20328"/>
    <d v="2024-12-03T00:00:00"/>
    <x v="4"/>
    <x v="3"/>
    <x v="14"/>
    <x v="4"/>
    <n v="6"/>
    <n v="4757.8100000000004"/>
    <n v="0.1"/>
    <x v="0"/>
    <x v="2"/>
    <x v="0"/>
    <n v="25692.17"/>
    <x v="1"/>
  </r>
  <r>
    <s v="OD20329"/>
    <d v="2024-02-01T00:00:00"/>
    <x v="10"/>
    <x v="2"/>
    <x v="20"/>
    <x v="6"/>
    <n v="1"/>
    <n v="2472.6999999999998"/>
    <n v="0.1"/>
    <x v="0"/>
    <x v="2"/>
    <x v="1"/>
    <n v="2225.4299999999998"/>
    <x v="0"/>
  </r>
  <r>
    <s v="OD20330"/>
    <d v="2024-09-24T00:00:00"/>
    <x v="3"/>
    <x v="0"/>
    <x v="23"/>
    <x v="4"/>
    <n v="6"/>
    <n v="1025.06"/>
    <n v="0.1"/>
    <x v="0"/>
    <x v="1"/>
    <x v="1"/>
    <n v="5535.32"/>
    <x v="0"/>
  </r>
  <r>
    <s v="OD20331"/>
    <d v="2024-11-24T00:00:00"/>
    <x v="0"/>
    <x v="4"/>
    <x v="22"/>
    <x v="6"/>
    <n v="4"/>
    <n v="2213.9299999999998"/>
    <n v="0"/>
    <x v="0"/>
    <x v="0"/>
    <x v="1"/>
    <n v="8855.7199999999993"/>
    <x v="0"/>
  </r>
  <r>
    <s v="OD20332"/>
    <d v="2024-08-23T00:00:00"/>
    <x v="2"/>
    <x v="4"/>
    <x v="6"/>
    <x v="5"/>
    <n v="5"/>
    <n v="5735.45"/>
    <n v="0"/>
    <x v="3"/>
    <x v="0"/>
    <x v="0"/>
    <n v="28677.25"/>
    <x v="1"/>
  </r>
  <r>
    <s v="OD20333"/>
    <d v="2024-05-16T00:00:00"/>
    <x v="9"/>
    <x v="3"/>
    <x v="12"/>
    <x v="5"/>
    <n v="3"/>
    <n v="3634.76"/>
    <n v="0.1"/>
    <x v="0"/>
    <x v="4"/>
    <x v="1"/>
    <n v="9813.85"/>
    <x v="0"/>
  </r>
  <r>
    <s v="OD20334"/>
    <d v="2024-09-25T00:00:00"/>
    <x v="3"/>
    <x v="3"/>
    <x v="14"/>
    <x v="0"/>
    <n v="1"/>
    <n v="2031.94"/>
    <n v="0.05"/>
    <x v="2"/>
    <x v="0"/>
    <x v="1"/>
    <n v="1930.34"/>
    <x v="0"/>
  </r>
  <r>
    <s v="OD20335"/>
    <d v="2024-02-20T00:00:00"/>
    <x v="10"/>
    <x v="3"/>
    <x v="13"/>
    <x v="7"/>
    <n v="2"/>
    <n v="2352.94"/>
    <n v="0.15"/>
    <x v="0"/>
    <x v="3"/>
    <x v="0"/>
    <n v="4000"/>
    <x v="0"/>
  </r>
  <r>
    <s v="OD20336"/>
    <d v="2024-09-12T00:00:00"/>
    <x v="3"/>
    <x v="4"/>
    <x v="6"/>
    <x v="6"/>
    <n v="6"/>
    <n v="4898.6899999999996"/>
    <n v="0.15"/>
    <x v="0"/>
    <x v="2"/>
    <x v="1"/>
    <n v="24983.32"/>
    <x v="1"/>
  </r>
  <r>
    <s v="OD20337"/>
    <d v="2024-02-11T00:00:00"/>
    <x v="10"/>
    <x v="1"/>
    <x v="1"/>
    <x v="3"/>
    <n v="4"/>
    <n v="1853.2"/>
    <n v="0"/>
    <x v="0"/>
    <x v="4"/>
    <x v="1"/>
    <n v="7412.8"/>
    <x v="0"/>
  </r>
  <r>
    <s v="OD20338"/>
    <d v="2024-12-13T00:00:00"/>
    <x v="4"/>
    <x v="3"/>
    <x v="13"/>
    <x v="2"/>
    <n v="2"/>
    <n v="248.99"/>
    <n v="0.25"/>
    <x v="0"/>
    <x v="1"/>
    <x v="1"/>
    <n v="373.49"/>
    <x v="0"/>
  </r>
  <r>
    <s v="OD20339"/>
    <d v="2024-06-07T00:00:00"/>
    <x v="11"/>
    <x v="1"/>
    <x v="18"/>
    <x v="6"/>
    <n v="4"/>
    <n v="2277.19"/>
    <n v="0.15"/>
    <x v="0"/>
    <x v="2"/>
    <x v="1"/>
    <n v="9108.61"/>
    <x v="0"/>
  </r>
  <r>
    <s v="OD20340"/>
    <d v="2024-11-07T00:00:00"/>
    <x v="0"/>
    <x v="1"/>
    <x v="1"/>
    <x v="4"/>
    <n v="3"/>
    <n v="4912.2"/>
    <n v="0.25"/>
    <x v="2"/>
    <x v="2"/>
    <x v="1"/>
    <n v="11052.45"/>
    <x v="2"/>
  </r>
  <r>
    <s v="OD20341"/>
    <d v="2024-10-24T00:00:00"/>
    <x v="5"/>
    <x v="1"/>
    <x v="11"/>
    <x v="4"/>
    <n v="3"/>
    <n v="7109.23"/>
    <n v="0"/>
    <x v="0"/>
    <x v="0"/>
    <x v="1"/>
    <n v="21327.69"/>
    <x v="1"/>
  </r>
  <r>
    <s v="OD20342"/>
    <d v="2024-05-17T00:00:00"/>
    <x v="9"/>
    <x v="2"/>
    <x v="2"/>
    <x v="4"/>
    <n v="6"/>
    <n v="3350.84"/>
    <n v="0"/>
    <x v="3"/>
    <x v="2"/>
    <x v="1"/>
    <n v="20105.04"/>
    <x v="1"/>
  </r>
  <r>
    <s v="OD20343"/>
    <d v="2024-09-28T00:00:00"/>
    <x v="3"/>
    <x v="1"/>
    <x v="18"/>
    <x v="5"/>
    <n v="4"/>
    <n v="6813.2"/>
    <n v="0"/>
    <x v="3"/>
    <x v="4"/>
    <x v="1"/>
    <n v="27252.799999999999"/>
    <x v="1"/>
  </r>
  <r>
    <s v="OD20344"/>
    <d v="2024-10-19T00:00:00"/>
    <x v="5"/>
    <x v="4"/>
    <x v="6"/>
    <x v="1"/>
    <n v="4"/>
    <n v="1574.97"/>
    <n v="0.1"/>
    <x v="1"/>
    <x v="3"/>
    <x v="0"/>
    <n v="5669.89"/>
    <x v="0"/>
  </r>
  <r>
    <s v="OD20345"/>
    <d v="2024-12-10T00:00:00"/>
    <x v="4"/>
    <x v="2"/>
    <x v="19"/>
    <x v="6"/>
    <n v="3"/>
    <n v="6426.84"/>
    <n v="0"/>
    <x v="3"/>
    <x v="1"/>
    <x v="1"/>
    <n v="19280.52"/>
    <x v="2"/>
  </r>
  <r>
    <s v="OD20346"/>
    <d v="2024-02-15T00:00:00"/>
    <x v="10"/>
    <x v="0"/>
    <x v="0"/>
    <x v="0"/>
    <n v="2"/>
    <n v="4408.96"/>
    <n v="0.2"/>
    <x v="0"/>
    <x v="0"/>
    <x v="1"/>
    <n v="7054.34"/>
    <x v="0"/>
  </r>
  <r>
    <s v="OD20347"/>
    <d v="2024-05-16T00:00:00"/>
    <x v="9"/>
    <x v="1"/>
    <x v="11"/>
    <x v="6"/>
    <n v="1"/>
    <n v="430.01"/>
    <n v="0.05"/>
    <x v="3"/>
    <x v="2"/>
    <x v="1"/>
    <n v="408.51"/>
    <x v="0"/>
  </r>
  <r>
    <s v="OD20348"/>
    <d v="2024-03-30T00:00:00"/>
    <x v="7"/>
    <x v="0"/>
    <x v="16"/>
    <x v="7"/>
    <n v="4"/>
    <n v="5590.98"/>
    <n v="0.05"/>
    <x v="3"/>
    <x v="1"/>
    <x v="1"/>
    <n v="21245.72"/>
    <x v="1"/>
  </r>
  <r>
    <s v="OD20349"/>
    <d v="2024-06-03T00:00:00"/>
    <x v="11"/>
    <x v="2"/>
    <x v="2"/>
    <x v="7"/>
    <n v="6"/>
    <n v="2157.7600000000002"/>
    <n v="0"/>
    <x v="2"/>
    <x v="3"/>
    <x v="1"/>
    <n v="12946.56"/>
    <x v="2"/>
  </r>
  <r>
    <s v="OD20350"/>
    <d v="2024-02-05T00:00:00"/>
    <x v="10"/>
    <x v="2"/>
    <x v="7"/>
    <x v="2"/>
    <n v="1"/>
    <n v="6721.16"/>
    <n v="0"/>
    <x v="1"/>
    <x v="1"/>
    <x v="0"/>
    <n v="6721.16"/>
    <x v="0"/>
  </r>
  <r>
    <s v="OD20351"/>
    <d v="2024-02-15T00:00:00"/>
    <x v="10"/>
    <x v="3"/>
    <x v="14"/>
    <x v="5"/>
    <n v="2"/>
    <n v="1316.64"/>
    <n v="0.15"/>
    <x v="0"/>
    <x v="2"/>
    <x v="1"/>
    <n v="2238.29"/>
    <x v="0"/>
  </r>
  <r>
    <s v="OD20352"/>
    <d v="2024-03-24T00:00:00"/>
    <x v="7"/>
    <x v="3"/>
    <x v="14"/>
    <x v="1"/>
    <n v="3"/>
    <n v="867.45"/>
    <n v="0"/>
    <x v="1"/>
    <x v="4"/>
    <x v="1"/>
    <n v="2602.35"/>
    <x v="0"/>
  </r>
  <r>
    <s v="OD20353"/>
    <d v="2024-03-19T00:00:00"/>
    <x v="7"/>
    <x v="1"/>
    <x v="11"/>
    <x v="2"/>
    <n v="6"/>
    <n v="3469.12"/>
    <n v="0.1"/>
    <x v="1"/>
    <x v="3"/>
    <x v="1"/>
    <n v="18733.25"/>
    <x v="2"/>
  </r>
  <r>
    <s v="OD20354"/>
    <d v="2024-04-28T00:00:00"/>
    <x v="8"/>
    <x v="1"/>
    <x v="18"/>
    <x v="3"/>
    <n v="5"/>
    <n v="882.58"/>
    <n v="0.25"/>
    <x v="2"/>
    <x v="0"/>
    <x v="1"/>
    <n v="3309.68"/>
    <x v="0"/>
  </r>
  <r>
    <s v="OD20355"/>
    <d v="2024-09-24T00:00:00"/>
    <x v="3"/>
    <x v="0"/>
    <x v="15"/>
    <x v="0"/>
    <n v="5"/>
    <n v="2755"/>
    <n v="0"/>
    <x v="0"/>
    <x v="0"/>
    <x v="1"/>
    <n v="13775"/>
    <x v="2"/>
  </r>
  <r>
    <s v="OD20356"/>
    <d v="2024-12-05T00:00:00"/>
    <x v="4"/>
    <x v="1"/>
    <x v="11"/>
    <x v="1"/>
    <n v="3"/>
    <n v="1180.1400000000001"/>
    <n v="0"/>
    <x v="0"/>
    <x v="2"/>
    <x v="1"/>
    <n v="3540.42"/>
    <x v="0"/>
  </r>
  <r>
    <s v="OD20357"/>
    <d v="2024-01-29T00:00:00"/>
    <x v="1"/>
    <x v="0"/>
    <x v="15"/>
    <x v="1"/>
    <n v="5"/>
    <n v="2626.69"/>
    <n v="0.1"/>
    <x v="0"/>
    <x v="1"/>
    <x v="1"/>
    <n v="11820.11"/>
    <x v="2"/>
  </r>
  <r>
    <s v="OD20358"/>
    <d v="2024-03-02T00:00:00"/>
    <x v="7"/>
    <x v="3"/>
    <x v="12"/>
    <x v="7"/>
    <n v="5"/>
    <n v="5789.15"/>
    <n v="0.15"/>
    <x v="1"/>
    <x v="3"/>
    <x v="1"/>
    <n v="24603.89"/>
    <x v="1"/>
  </r>
  <r>
    <s v="OD20359"/>
    <d v="2024-05-09T00:00:00"/>
    <x v="9"/>
    <x v="4"/>
    <x v="5"/>
    <x v="5"/>
    <n v="6"/>
    <n v="4181.41"/>
    <n v="0.25"/>
    <x v="0"/>
    <x v="4"/>
    <x v="1"/>
    <n v="18816.349999999999"/>
    <x v="2"/>
  </r>
  <r>
    <s v="OD20360"/>
    <d v="2024-02-23T00:00:00"/>
    <x v="10"/>
    <x v="0"/>
    <x v="15"/>
    <x v="2"/>
    <n v="4"/>
    <n v="839.71"/>
    <n v="0.1"/>
    <x v="0"/>
    <x v="0"/>
    <x v="0"/>
    <n v="3022.96"/>
    <x v="0"/>
  </r>
  <r>
    <s v="OD20361"/>
    <d v="2024-08-11T00:00:00"/>
    <x v="2"/>
    <x v="0"/>
    <x v="17"/>
    <x v="7"/>
    <n v="5"/>
    <n v="822.75"/>
    <n v="0.2"/>
    <x v="1"/>
    <x v="1"/>
    <x v="0"/>
    <n v="3291"/>
    <x v="0"/>
  </r>
  <r>
    <s v="OD20362"/>
    <d v="2024-09-29T00:00:00"/>
    <x v="3"/>
    <x v="3"/>
    <x v="21"/>
    <x v="4"/>
    <n v="5"/>
    <n v="6689.77"/>
    <n v="0.05"/>
    <x v="0"/>
    <x v="3"/>
    <x v="1"/>
    <n v="31776.41"/>
    <x v="1"/>
  </r>
  <r>
    <s v="OD20363"/>
    <d v="2024-02-16T00:00:00"/>
    <x v="10"/>
    <x v="4"/>
    <x v="8"/>
    <x v="5"/>
    <n v="3"/>
    <n v="7552.2"/>
    <n v="0.2"/>
    <x v="3"/>
    <x v="0"/>
    <x v="1"/>
    <n v="18125.28"/>
    <x v="2"/>
  </r>
  <r>
    <s v="OD20364"/>
    <d v="2024-02-24T00:00:00"/>
    <x v="10"/>
    <x v="1"/>
    <x v="11"/>
    <x v="3"/>
    <n v="5"/>
    <n v="2809.98"/>
    <n v="0.1"/>
    <x v="0"/>
    <x v="4"/>
    <x v="1"/>
    <n v="12644.91"/>
    <x v="2"/>
  </r>
  <r>
    <s v="OD20365"/>
    <d v="2024-12-15T00:00:00"/>
    <x v="4"/>
    <x v="0"/>
    <x v="0"/>
    <x v="7"/>
    <n v="2"/>
    <n v="5328.26"/>
    <n v="0"/>
    <x v="0"/>
    <x v="4"/>
    <x v="0"/>
    <n v="10656.52"/>
    <x v="2"/>
  </r>
  <r>
    <s v="OD20366"/>
    <d v="2024-06-11T00:00:00"/>
    <x v="11"/>
    <x v="3"/>
    <x v="21"/>
    <x v="6"/>
    <n v="3"/>
    <n v="7604.43"/>
    <n v="0.1"/>
    <x v="0"/>
    <x v="3"/>
    <x v="1"/>
    <n v="20531.96"/>
    <x v="1"/>
  </r>
  <r>
    <s v="OD20367"/>
    <d v="2024-03-28T00:00:00"/>
    <x v="7"/>
    <x v="2"/>
    <x v="2"/>
    <x v="2"/>
    <n v="2"/>
    <n v="6532.17"/>
    <n v="0.1"/>
    <x v="2"/>
    <x v="4"/>
    <x v="1"/>
    <n v="11757.91"/>
    <x v="2"/>
  </r>
  <r>
    <s v="OD20368"/>
    <d v="2024-06-12T00:00:00"/>
    <x v="11"/>
    <x v="3"/>
    <x v="21"/>
    <x v="4"/>
    <n v="2"/>
    <n v="6878.83"/>
    <n v="0"/>
    <x v="2"/>
    <x v="1"/>
    <x v="1"/>
    <n v="13757.66"/>
    <x v="2"/>
  </r>
  <r>
    <s v="OD20369"/>
    <d v="2024-02-21T00:00:00"/>
    <x v="10"/>
    <x v="0"/>
    <x v="0"/>
    <x v="5"/>
    <n v="1"/>
    <n v="2718.02"/>
    <n v="0"/>
    <x v="0"/>
    <x v="1"/>
    <x v="1"/>
    <n v="2718.02"/>
    <x v="0"/>
  </r>
  <r>
    <s v="OD20370"/>
    <d v="2024-07-12T00:00:00"/>
    <x v="6"/>
    <x v="4"/>
    <x v="22"/>
    <x v="3"/>
    <n v="3"/>
    <n v="5163.2700000000004"/>
    <n v="0.25"/>
    <x v="0"/>
    <x v="4"/>
    <x v="0"/>
    <n v="11617.36"/>
    <x v="2"/>
  </r>
  <r>
    <s v="OD20371"/>
    <d v="2024-09-04T00:00:00"/>
    <x v="3"/>
    <x v="2"/>
    <x v="20"/>
    <x v="5"/>
    <n v="4"/>
    <n v="3418.85"/>
    <n v="0.1"/>
    <x v="0"/>
    <x v="3"/>
    <x v="0"/>
    <n v="12307.86"/>
    <x v="2"/>
  </r>
  <r>
    <s v="OD20372"/>
    <d v="2024-01-13T00:00:00"/>
    <x v="1"/>
    <x v="4"/>
    <x v="8"/>
    <x v="0"/>
    <n v="6"/>
    <n v="1178.27"/>
    <n v="0"/>
    <x v="0"/>
    <x v="1"/>
    <x v="0"/>
    <n v="7069.62"/>
    <x v="0"/>
  </r>
  <r>
    <s v="OD20373"/>
    <d v="2024-03-21T00:00:00"/>
    <x v="7"/>
    <x v="1"/>
    <x v="10"/>
    <x v="0"/>
    <n v="4"/>
    <n v="5150.0200000000004"/>
    <n v="0"/>
    <x v="3"/>
    <x v="1"/>
    <x v="1"/>
    <n v="20600.080000000002"/>
    <x v="1"/>
  </r>
  <r>
    <s v="OD20374"/>
    <d v="2024-12-08T00:00:00"/>
    <x v="4"/>
    <x v="2"/>
    <x v="20"/>
    <x v="2"/>
    <n v="2"/>
    <n v="4898.18"/>
    <n v="0.2"/>
    <x v="2"/>
    <x v="3"/>
    <x v="1"/>
    <n v="7837.09"/>
    <x v="0"/>
  </r>
  <r>
    <s v="OD20375"/>
    <d v="2024-09-15T00:00:00"/>
    <x v="3"/>
    <x v="3"/>
    <x v="14"/>
    <x v="6"/>
    <n v="1"/>
    <n v="7225.68"/>
    <n v="0.1"/>
    <x v="2"/>
    <x v="0"/>
    <x v="0"/>
    <n v="6503.11"/>
    <x v="0"/>
  </r>
  <r>
    <s v="OD20376"/>
    <d v="2024-11-05T00:00:00"/>
    <x v="0"/>
    <x v="4"/>
    <x v="24"/>
    <x v="1"/>
    <n v="3"/>
    <n v="1985.18"/>
    <n v="0.1"/>
    <x v="2"/>
    <x v="1"/>
    <x v="1"/>
    <n v="5359.99"/>
    <x v="0"/>
  </r>
  <r>
    <s v="OD20377"/>
    <d v="2024-09-21T00:00:00"/>
    <x v="3"/>
    <x v="2"/>
    <x v="7"/>
    <x v="6"/>
    <n v="2"/>
    <n v="1972.43"/>
    <n v="0.05"/>
    <x v="0"/>
    <x v="4"/>
    <x v="1"/>
    <n v="3747.62"/>
    <x v="0"/>
  </r>
  <r>
    <s v="OD20378"/>
    <d v="2024-09-07T00:00:00"/>
    <x v="3"/>
    <x v="0"/>
    <x v="16"/>
    <x v="2"/>
    <n v="1"/>
    <n v="3624.61"/>
    <n v="0"/>
    <x v="0"/>
    <x v="1"/>
    <x v="1"/>
    <n v="3624.61"/>
    <x v="0"/>
  </r>
  <r>
    <s v="OD20379"/>
    <d v="2024-05-05T00:00:00"/>
    <x v="9"/>
    <x v="2"/>
    <x v="7"/>
    <x v="0"/>
    <n v="2"/>
    <n v="1937.27"/>
    <n v="0.2"/>
    <x v="0"/>
    <x v="3"/>
    <x v="1"/>
    <n v="3099.63"/>
    <x v="0"/>
  </r>
  <r>
    <s v="OD20380"/>
    <d v="2024-03-04T00:00:00"/>
    <x v="7"/>
    <x v="1"/>
    <x v="9"/>
    <x v="7"/>
    <n v="5"/>
    <n v="2474.65"/>
    <n v="0.2"/>
    <x v="3"/>
    <x v="2"/>
    <x v="1"/>
    <n v="9898.6"/>
    <x v="0"/>
  </r>
  <r>
    <s v="OD20381"/>
    <d v="2024-10-30T00:00:00"/>
    <x v="5"/>
    <x v="2"/>
    <x v="2"/>
    <x v="3"/>
    <n v="5"/>
    <n v="1285.52"/>
    <n v="0.05"/>
    <x v="0"/>
    <x v="2"/>
    <x v="1"/>
    <n v="6106.22"/>
    <x v="0"/>
  </r>
  <r>
    <s v="OD20382"/>
    <d v="2024-11-26T00:00:00"/>
    <x v="0"/>
    <x v="0"/>
    <x v="23"/>
    <x v="0"/>
    <n v="2"/>
    <n v="3802.54"/>
    <n v="0"/>
    <x v="0"/>
    <x v="0"/>
    <x v="1"/>
    <n v="7605.08"/>
    <x v="0"/>
  </r>
  <r>
    <s v="OD20383"/>
    <d v="2024-10-10T00:00:00"/>
    <x v="5"/>
    <x v="2"/>
    <x v="7"/>
    <x v="4"/>
    <n v="6"/>
    <n v="5352.49"/>
    <n v="0"/>
    <x v="1"/>
    <x v="4"/>
    <x v="1"/>
    <n v="32114.94"/>
    <x v="1"/>
  </r>
  <r>
    <s v="OD20384"/>
    <d v="2024-11-29T00:00:00"/>
    <x v="0"/>
    <x v="0"/>
    <x v="0"/>
    <x v="0"/>
    <n v="2"/>
    <n v="2392.4"/>
    <n v="0.05"/>
    <x v="0"/>
    <x v="4"/>
    <x v="0"/>
    <n v="4545.5600000000004"/>
    <x v="0"/>
  </r>
  <r>
    <s v="OD20385"/>
    <d v="2024-11-23T00:00:00"/>
    <x v="0"/>
    <x v="0"/>
    <x v="15"/>
    <x v="7"/>
    <n v="4"/>
    <n v="1062.57"/>
    <n v="0.1"/>
    <x v="3"/>
    <x v="0"/>
    <x v="0"/>
    <n v="4250.1799999999994"/>
    <x v="0"/>
  </r>
  <r>
    <s v="OD20386"/>
    <d v="2024-05-21T00:00:00"/>
    <x v="9"/>
    <x v="0"/>
    <x v="15"/>
    <x v="2"/>
    <n v="3"/>
    <n v="2410.3200000000002"/>
    <n v="0.25"/>
    <x v="0"/>
    <x v="1"/>
    <x v="1"/>
    <n v="5423.22"/>
    <x v="0"/>
  </r>
  <r>
    <s v="OD20387"/>
    <d v="2024-01-30T00:00:00"/>
    <x v="1"/>
    <x v="0"/>
    <x v="0"/>
    <x v="6"/>
    <n v="4"/>
    <n v="2221.11"/>
    <n v="0"/>
    <x v="0"/>
    <x v="0"/>
    <x v="1"/>
    <n v="8884.44"/>
    <x v="0"/>
  </r>
  <r>
    <s v="OD20388"/>
    <d v="2024-08-04T00:00:00"/>
    <x v="2"/>
    <x v="3"/>
    <x v="13"/>
    <x v="0"/>
    <n v="1"/>
    <n v="5092.1000000000004"/>
    <n v="0.05"/>
    <x v="2"/>
    <x v="3"/>
    <x v="0"/>
    <n v="4837.49"/>
    <x v="0"/>
  </r>
  <r>
    <s v="OD20389"/>
    <d v="2024-08-25T00:00:00"/>
    <x v="2"/>
    <x v="0"/>
    <x v="0"/>
    <x v="5"/>
    <n v="2"/>
    <n v="990.84"/>
    <n v="0.1"/>
    <x v="2"/>
    <x v="0"/>
    <x v="1"/>
    <n v="1783.51"/>
    <x v="0"/>
  </r>
  <r>
    <s v="OD20390"/>
    <d v="2024-08-16T00:00:00"/>
    <x v="2"/>
    <x v="4"/>
    <x v="5"/>
    <x v="1"/>
    <n v="2"/>
    <n v="3942.14"/>
    <n v="0"/>
    <x v="1"/>
    <x v="2"/>
    <x v="0"/>
    <n v="7884.28"/>
    <x v="0"/>
  </r>
  <r>
    <s v="OD20391"/>
    <d v="2024-08-13T00:00:00"/>
    <x v="2"/>
    <x v="4"/>
    <x v="8"/>
    <x v="2"/>
    <n v="5"/>
    <n v="6358.68"/>
    <n v="0"/>
    <x v="3"/>
    <x v="4"/>
    <x v="1"/>
    <n v="31793.4"/>
    <x v="1"/>
  </r>
  <r>
    <s v="OD20392"/>
    <d v="2024-09-11T00:00:00"/>
    <x v="3"/>
    <x v="3"/>
    <x v="4"/>
    <x v="4"/>
    <n v="2"/>
    <n v="5553.6"/>
    <n v="0.05"/>
    <x v="1"/>
    <x v="3"/>
    <x v="1"/>
    <n v="10551.84"/>
    <x v="2"/>
  </r>
  <r>
    <s v="OD20393"/>
    <d v="2024-12-05T00:00:00"/>
    <x v="4"/>
    <x v="4"/>
    <x v="24"/>
    <x v="0"/>
    <n v="4"/>
    <n v="2770"/>
    <n v="0.25"/>
    <x v="2"/>
    <x v="2"/>
    <x v="1"/>
    <n v="8310"/>
    <x v="0"/>
  </r>
  <r>
    <s v="OD20394"/>
    <d v="2024-06-11T00:00:00"/>
    <x v="11"/>
    <x v="2"/>
    <x v="3"/>
    <x v="7"/>
    <n v="6"/>
    <n v="6096.81"/>
    <n v="0.1"/>
    <x v="2"/>
    <x v="3"/>
    <x v="1"/>
    <n v="32922.769999999997"/>
    <x v="1"/>
  </r>
  <r>
    <s v="OD20395"/>
    <d v="2024-02-12T00:00:00"/>
    <x v="10"/>
    <x v="3"/>
    <x v="12"/>
    <x v="0"/>
    <n v="5"/>
    <n v="3402.55"/>
    <n v="0.1"/>
    <x v="2"/>
    <x v="1"/>
    <x v="0"/>
    <n v="15311.48"/>
    <x v="2"/>
  </r>
  <r>
    <s v="OD20396"/>
    <d v="2024-11-06T00:00:00"/>
    <x v="0"/>
    <x v="4"/>
    <x v="22"/>
    <x v="5"/>
    <n v="4"/>
    <n v="3618.11"/>
    <n v="0.1"/>
    <x v="0"/>
    <x v="2"/>
    <x v="1"/>
    <n v="13025.2"/>
    <x v="2"/>
  </r>
  <r>
    <s v="OD20397"/>
    <d v="2024-07-08T00:00:00"/>
    <x v="6"/>
    <x v="3"/>
    <x v="21"/>
    <x v="1"/>
    <n v="2"/>
    <n v="7371.56"/>
    <n v="0.2"/>
    <x v="2"/>
    <x v="2"/>
    <x v="1"/>
    <n v="11794.5"/>
    <x v="2"/>
  </r>
  <r>
    <s v="OD20398"/>
    <d v="2024-03-15T00:00:00"/>
    <x v="7"/>
    <x v="4"/>
    <x v="6"/>
    <x v="2"/>
    <n v="6"/>
    <n v="2467.06"/>
    <n v="0.05"/>
    <x v="0"/>
    <x v="3"/>
    <x v="1"/>
    <n v="14062.24"/>
    <x v="2"/>
  </r>
  <r>
    <s v="OD20399"/>
    <d v="2024-02-11T00:00:00"/>
    <x v="10"/>
    <x v="4"/>
    <x v="6"/>
    <x v="5"/>
    <n v="1"/>
    <n v="1840.98"/>
    <n v="0.25"/>
    <x v="1"/>
    <x v="1"/>
    <x v="0"/>
    <n v="1380.74"/>
    <x v="0"/>
  </r>
  <r>
    <s v="OD20400"/>
    <d v="2024-06-21T00:00:00"/>
    <x v="11"/>
    <x v="1"/>
    <x v="9"/>
    <x v="1"/>
    <n v="2"/>
    <n v="1435.79"/>
    <n v="0.1"/>
    <x v="3"/>
    <x v="1"/>
    <x v="1"/>
    <n v="2584.42"/>
    <x v="0"/>
  </r>
  <r>
    <s v="OD20401"/>
    <d v="2024-04-18T00:00:00"/>
    <x v="8"/>
    <x v="3"/>
    <x v="13"/>
    <x v="3"/>
    <n v="1"/>
    <n v="3418.16"/>
    <n v="0.25"/>
    <x v="0"/>
    <x v="4"/>
    <x v="1"/>
    <n v="2563.62"/>
    <x v="0"/>
  </r>
  <r>
    <s v="OD20402"/>
    <d v="2024-10-10T00:00:00"/>
    <x v="5"/>
    <x v="0"/>
    <x v="0"/>
    <x v="5"/>
    <n v="3"/>
    <n v="3330.38"/>
    <n v="0.05"/>
    <x v="0"/>
    <x v="3"/>
    <x v="1"/>
    <n v="9491.58"/>
    <x v="0"/>
  </r>
  <r>
    <s v="OD20403"/>
    <d v="2024-06-24T00:00:00"/>
    <x v="11"/>
    <x v="2"/>
    <x v="7"/>
    <x v="4"/>
    <n v="1"/>
    <n v="3036.27"/>
    <n v="0"/>
    <x v="0"/>
    <x v="1"/>
    <x v="1"/>
    <n v="3036.27"/>
    <x v="0"/>
  </r>
  <r>
    <s v="OD20404"/>
    <d v="2024-08-22T00:00:00"/>
    <x v="2"/>
    <x v="3"/>
    <x v="21"/>
    <x v="6"/>
    <n v="1"/>
    <n v="7660.63"/>
    <n v="0.25"/>
    <x v="1"/>
    <x v="0"/>
    <x v="1"/>
    <n v="5745.47"/>
    <x v="0"/>
  </r>
  <r>
    <s v="OD20405"/>
    <d v="2024-04-06T00:00:00"/>
    <x v="8"/>
    <x v="2"/>
    <x v="2"/>
    <x v="7"/>
    <n v="5"/>
    <n v="1644.8"/>
    <n v="0.1"/>
    <x v="1"/>
    <x v="4"/>
    <x v="0"/>
    <n v="8223.9"/>
    <x v="0"/>
  </r>
  <r>
    <s v="OD20406"/>
    <d v="2024-05-01T00:00:00"/>
    <x v="9"/>
    <x v="1"/>
    <x v="9"/>
    <x v="5"/>
    <n v="6"/>
    <n v="1016.34"/>
    <n v="0.1"/>
    <x v="0"/>
    <x v="3"/>
    <x v="1"/>
    <n v="6097.94"/>
    <x v="0"/>
  </r>
  <r>
    <s v="OD20407"/>
    <d v="2024-10-18T00:00:00"/>
    <x v="5"/>
    <x v="3"/>
    <x v="21"/>
    <x v="7"/>
    <n v="6"/>
    <n v="219.41"/>
    <n v="0.2"/>
    <x v="0"/>
    <x v="1"/>
    <x v="1"/>
    <n v="1316.26"/>
    <x v="0"/>
  </r>
  <r>
    <s v="OD20408"/>
    <d v="2024-03-03T00:00:00"/>
    <x v="7"/>
    <x v="1"/>
    <x v="1"/>
    <x v="6"/>
    <n v="3"/>
    <n v="4745.96"/>
    <n v="0.15"/>
    <x v="1"/>
    <x v="0"/>
    <x v="0"/>
    <n v="12102.2"/>
    <x v="2"/>
  </r>
  <r>
    <s v="OD20409"/>
    <d v="2024-08-07T00:00:00"/>
    <x v="2"/>
    <x v="0"/>
    <x v="15"/>
    <x v="4"/>
    <n v="3"/>
    <n v="6985.91"/>
    <n v="0"/>
    <x v="0"/>
    <x v="1"/>
    <x v="1"/>
    <n v="20957.73"/>
    <x v="1"/>
  </r>
  <r>
    <s v="OD20410"/>
    <d v="2024-07-02T00:00:00"/>
    <x v="6"/>
    <x v="0"/>
    <x v="15"/>
    <x v="4"/>
    <n v="3"/>
    <n v="2152.29"/>
    <n v="0.05"/>
    <x v="0"/>
    <x v="1"/>
    <x v="1"/>
    <n v="6134.03"/>
    <x v="0"/>
  </r>
  <r>
    <s v="OD20411"/>
    <d v="2024-10-13T00:00:00"/>
    <x v="5"/>
    <x v="2"/>
    <x v="20"/>
    <x v="5"/>
    <n v="4"/>
    <n v="3389.68"/>
    <n v="0"/>
    <x v="1"/>
    <x v="1"/>
    <x v="1"/>
    <n v="13558.72"/>
    <x v="2"/>
  </r>
  <r>
    <s v="OD20412"/>
    <d v="2024-10-28T00:00:00"/>
    <x v="5"/>
    <x v="1"/>
    <x v="1"/>
    <x v="3"/>
    <n v="4"/>
    <n v="3520.44"/>
    <n v="0.25"/>
    <x v="0"/>
    <x v="4"/>
    <x v="1"/>
    <n v="10561.32"/>
    <x v="2"/>
  </r>
  <r>
    <s v="OD20413"/>
    <d v="2024-04-11T00:00:00"/>
    <x v="8"/>
    <x v="3"/>
    <x v="4"/>
    <x v="4"/>
    <n v="1"/>
    <n v="2189.4299999999998"/>
    <n v="0.15"/>
    <x v="0"/>
    <x v="0"/>
    <x v="1"/>
    <n v="1861.02"/>
    <x v="0"/>
  </r>
  <r>
    <s v="OD20414"/>
    <d v="2024-08-09T00:00:00"/>
    <x v="2"/>
    <x v="1"/>
    <x v="11"/>
    <x v="1"/>
    <n v="3"/>
    <n v="7462.39"/>
    <n v="0"/>
    <x v="1"/>
    <x v="1"/>
    <x v="0"/>
    <n v="22387.17"/>
    <x v="1"/>
  </r>
  <r>
    <s v="OD20415"/>
    <d v="2024-06-20T00:00:00"/>
    <x v="11"/>
    <x v="0"/>
    <x v="15"/>
    <x v="2"/>
    <n v="1"/>
    <n v="954.3"/>
    <n v="0.1"/>
    <x v="2"/>
    <x v="0"/>
    <x v="0"/>
    <n v="858.87"/>
    <x v="0"/>
  </r>
  <r>
    <s v="OD20416"/>
    <d v="2024-12-25T00:00:00"/>
    <x v="4"/>
    <x v="1"/>
    <x v="18"/>
    <x v="2"/>
    <n v="2"/>
    <n v="5345.63"/>
    <n v="0"/>
    <x v="0"/>
    <x v="1"/>
    <x v="1"/>
    <n v="10691.26"/>
    <x v="2"/>
  </r>
  <r>
    <s v="OD20417"/>
    <d v="2024-07-24T00:00:00"/>
    <x v="6"/>
    <x v="0"/>
    <x v="0"/>
    <x v="2"/>
    <n v="4"/>
    <n v="5554.15"/>
    <n v="0.2"/>
    <x v="0"/>
    <x v="3"/>
    <x v="1"/>
    <n v="17773.28"/>
    <x v="2"/>
  </r>
  <r>
    <s v="OD20418"/>
    <d v="2024-04-09T00:00:00"/>
    <x v="8"/>
    <x v="2"/>
    <x v="19"/>
    <x v="1"/>
    <n v="1"/>
    <n v="5408.12"/>
    <n v="0.25"/>
    <x v="2"/>
    <x v="0"/>
    <x v="1"/>
    <n v="4056.09"/>
    <x v="0"/>
  </r>
  <r>
    <s v="OD20419"/>
    <d v="2024-08-11T00:00:00"/>
    <x v="2"/>
    <x v="1"/>
    <x v="1"/>
    <x v="3"/>
    <n v="2"/>
    <n v="5330.9"/>
    <n v="0"/>
    <x v="1"/>
    <x v="3"/>
    <x v="0"/>
    <n v="10661.8"/>
    <x v="2"/>
  </r>
  <r>
    <s v="OD20420"/>
    <d v="2024-04-23T00:00:00"/>
    <x v="8"/>
    <x v="0"/>
    <x v="0"/>
    <x v="2"/>
    <n v="5"/>
    <n v="7595.13"/>
    <n v="0.1"/>
    <x v="0"/>
    <x v="1"/>
    <x v="1"/>
    <n v="34178.080000000002"/>
    <x v="1"/>
  </r>
  <r>
    <s v="OD20421"/>
    <d v="2024-03-08T00:00:00"/>
    <x v="7"/>
    <x v="4"/>
    <x v="24"/>
    <x v="2"/>
    <n v="1"/>
    <n v="4419.6099999999997"/>
    <n v="0.2"/>
    <x v="0"/>
    <x v="3"/>
    <x v="1"/>
    <n v="3535.69"/>
    <x v="0"/>
  </r>
  <r>
    <s v="OD20422"/>
    <d v="2024-03-19T00:00:00"/>
    <x v="7"/>
    <x v="3"/>
    <x v="12"/>
    <x v="2"/>
    <n v="1"/>
    <n v="7011.72"/>
    <n v="0"/>
    <x v="0"/>
    <x v="4"/>
    <x v="1"/>
    <n v="7011.72"/>
    <x v="0"/>
  </r>
  <r>
    <s v="OD20423"/>
    <d v="2024-06-08T00:00:00"/>
    <x v="11"/>
    <x v="2"/>
    <x v="20"/>
    <x v="6"/>
    <n v="5"/>
    <n v="1752.73"/>
    <n v="0.15"/>
    <x v="0"/>
    <x v="2"/>
    <x v="1"/>
    <n v="7449.1"/>
    <x v="0"/>
  </r>
  <r>
    <s v="OD20424"/>
    <d v="2024-08-08T00:00:00"/>
    <x v="2"/>
    <x v="2"/>
    <x v="3"/>
    <x v="0"/>
    <n v="6"/>
    <n v="4842.68"/>
    <n v="0"/>
    <x v="2"/>
    <x v="2"/>
    <x v="1"/>
    <n v="29056.080000000002"/>
    <x v="1"/>
  </r>
  <r>
    <s v="OD20425"/>
    <d v="2024-10-05T00:00:00"/>
    <x v="5"/>
    <x v="1"/>
    <x v="9"/>
    <x v="0"/>
    <n v="3"/>
    <n v="2450.62"/>
    <n v="0"/>
    <x v="0"/>
    <x v="2"/>
    <x v="1"/>
    <n v="7351.86"/>
    <x v="0"/>
  </r>
  <r>
    <s v="OD20426"/>
    <d v="2024-07-03T00:00:00"/>
    <x v="6"/>
    <x v="4"/>
    <x v="22"/>
    <x v="5"/>
    <n v="6"/>
    <n v="5285.1"/>
    <n v="0.1"/>
    <x v="3"/>
    <x v="2"/>
    <x v="0"/>
    <n v="28539.54"/>
    <x v="1"/>
  </r>
  <r>
    <s v="OD20427"/>
    <d v="2024-01-17T00:00:00"/>
    <x v="1"/>
    <x v="0"/>
    <x v="23"/>
    <x v="0"/>
    <n v="4"/>
    <n v="7701.54"/>
    <n v="0.1"/>
    <x v="0"/>
    <x v="1"/>
    <x v="1"/>
    <n v="27725.54"/>
    <x v="1"/>
  </r>
  <r>
    <s v="OD20428"/>
    <d v="2024-05-18T00:00:00"/>
    <x v="9"/>
    <x v="3"/>
    <x v="21"/>
    <x v="6"/>
    <n v="4"/>
    <n v="489.34"/>
    <n v="0.05"/>
    <x v="0"/>
    <x v="2"/>
    <x v="1"/>
    <n v="1859.49"/>
    <x v="0"/>
  </r>
  <r>
    <s v="OD20429"/>
    <d v="2024-05-23T00:00:00"/>
    <x v="9"/>
    <x v="1"/>
    <x v="11"/>
    <x v="7"/>
    <n v="1"/>
    <n v="7388.28"/>
    <n v="0.1"/>
    <x v="0"/>
    <x v="1"/>
    <x v="1"/>
    <n v="6649.45"/>
    <x v="0"/>
  </r>
  <r>
    <s v="OD20430"/>
    <d v="2024-05-19T00:00:00"/>
    <x v="9"/>
    <x v="2"/>
    <x v="3"/>
    <x v="5"/>
    <n v="4"/>
    <n v="4157.51"/>
    <n v="0.1"/>
    <x v="0"/>
    <x v="3"/>
    <x v="1"/>
    <n v="14967.04"/>
    <x v="2"/>
  </r>
  <r>
    <s v="OD20431"/>
    <d v="2024-11-15T00:00:00"/>
    <x v="0"/>
    <x v="0"/>
    <x v="0"/>
    <x v="2"/>
    <n v="6"/>
    <n v="1629.1"/>
    <n v="0"/>
    <x v="2"/>
    <x v="1"/>
    <x v="1"/>
    <n v="9774.6"/>
    <x v="0"/>
  </r>
  <r>
    <s v="OD20432"/>
    <d v="2024-03-03T00:00:00"/>
    <x v="7"/>
    <x v="4"/>
    <x v="8"/>
    <x v="7"/>
    <n v="1"/>
    <n v="4637.28"/>
    <n v="0"/>
    <x v="2"/>
    <x v="2"/>
    <x v="0"/>
    <n v="4637.28"/>
    <x v="0"/>
  </r>
  <r>
    <s v="OD20433"/>
    <d v="2024-07-23T00:00:00"/>
    <x v="6"/>
    <x v="1"/>
    <x v="1"/>
    <x v="7"/>
    <n v="2"/>
    <n v="5282.96"/>
    <n v="0.2"/>
    <x v="0"/>
    <x v="4"/>
    <x v="1"/>
    <n v="8452.74"/>
    <x v="0"/>
  </r>
  <r>
    <s v="OD20434"/>
    <d v="2024-08-27T00:00:00"/>
    <x v="2"/>
    <x v="0"/>
    <x v="16"/>
    <x v="3"/>
    <n v="1"/>
    <n v="576.87"/>
    <n v="0.2"/>
    <x v="3"/>
    <x v="4"/>
    <x v="1"/>
    <n v="461.5"/>
    <x v="0"/>
  </r>
  <r>
    <s v="OD20435"/>
    <d v="2024-08-13T00:00:00"/>
    <x v="2"/>
    <x v="1"/>
    <x v="1"/>
    <x v="1"/>
    <n v="1"/>
    <n v="2588.75"/>
    <n v="0.1"/>
    <x v="1"/>
    <x v="0"/>
    <x v="1"/>
    <n v="2329.88"/>
    <x v="0"/>
  </r>
  <r>
    <s v="OD20436"/>
    <d v="2024-12-25T00:00:00"/>
    <x v="4"/>
    <x v="2"/>
    <x v="19"/>
    <x v="1"/>
    <n v="3"/>
    <n v="4201.42"/>
    <n v="0.05"/>
    <x v="0"/>
    <x v="1"/>
    <x v="1"/>
    <n v="11974.05"/>
    <x v="2"/>
  </r>
  <r>
    <s v="OD20437"/>
    <d v="2024-11-04T00:00:00"/>
    <x v="0"/>
    <x v="4"/>
    <x v="22"/>
    <x v="7"/>
    <n v="5"/>
    <n v="4540.2"/>
    <n v="0.1"/>
    <x v="0"/>
    <x v="2"/>
    <x v="1"/>
    <n v="20430.900000000001"/>
    <x v="1"/>
  </r>
  <r>
    <s v="OD20438"/>
    <d v="2024-06-22T00:00:00"/>
    <x v="11"/>
    <x v="1"/>
    <x v="10"/>
    <x v="5"/>
    <n v="2"/>
    <n v="3426.67"/>
    <n v="0.15"/>
    <x v="0"/>
    <x v="0"/>
    <x v="1"/>
    <n v="5825.34"/>
    <x v="0"/>
  </r>
  <r>
    <s v="OD20439"/>
    <d v="2024-03-29T00:00:00"/>
    <x v="7"/>
    <x v="4"/>
    <x v="22"/>
    <x v="6"/>
    <n v="6"/>
    <n v="3739.45"/>
    <n v="0.15"/>
    <x v="1"/>
    <x v="0"/>
    <x v="0"/>
    <n v="19071.189999999999"/>
    <x v="2"/>
  </r>
  <r>
    <s v="OD20440"/>
    <d v="2024-04-11T00:00:00"/>
    <x v="8"/>
    <x v="4"/>
    <x v="8"/>
    <x v="3"/>
    <n v="5"/>
    <n v="1507.98"/>
    <n v="0.05"/>
    <x v="1"/>
    <x v="1"/>
    <x v="1"/>
    <n v="7162.9"/>
    <x v="0"/>
  </r>
  <r>
    <s v="OD20441"/>
    <d v="2024-09-04T00:00:00"/>
    <x v="3"/>
    <x v="0"/>
    <x v="15"/>
    <x v="4"/>
    <n v="6"/>
    <n v="4990.22"/>
    <n v="0.05"/>
    <x v="0"/>
    <x v="4"/>
    <x v="1"/>
    <n v="28444.25"/>
    <x v="1"/>
  </r>
  <r>
    <s v="OD20442"/>
    <d v="2024-07-05T00:00:00"/>
    <x v="6"/>
    <x v="4"/>
    <x v="22"/>
    <x v="4"/>
    <n v="4"/>
    <n v="3670.53"/>
    <n v="0.05"/>
    <x v="0"/>
    <x v="4"/>
    <x v="1"/>
    <n v="13948.01"/>
    <x v="2"/>
  </r>
  <r>
    <s v="OD20443"/>
    <d v="2024-09-23T00:00:00"/>
    <x v="3"/>
    <x v="0"/>
    <x v="17"/>
    <x v="4"/>
    <n v="1"/>
    <n v="273.67"/>
    <n v="0.1"/>
    <x v="3"/>
    <x v="1"/>
    <x v="1"/>
    <n v="246.3"/>
    <x v="0"/>
  </r>
  <r>
    <s v="OD20444"/>
    <d v="2024-03-08T00:00:00"/>
    <x v="7"/>
    <x v="0"/>
    <x v="23"/>
    <x v="2"/>
    <n v="3"/>
    <n v="3075.86"/>
    <n v="0"/>
    <x v="0"/>
    <x v="2"/>
    <x v="1"/>
    <n v="9227.58"/>
    <x v="0"/>
  </r>
  <r>
    <s v="OD20445"/>
    <d v="2024-11-04T00:00:00"/>
    <x v="0"/>
    <x v="3"/>
    <x v="12"/>
    <x v="3"/>
    <n v="3"/>
    <n v="4491.51"/>
    <n v="0"/>
    <x v="0"/>
    <x v="4"/>
    <x v="1"/>
    <n v="13474.53"/>
    <x v="2"/>
  </r>
  <r>
    <s v="OD20446"/>
    <d v="2024-07-14T00:00:00"/>
    <x v="6"/>
    <x v="2"/>
    <x v="20"/>
    <x v="4"/>
    <n v="6"/>
    <n v="4411.04"/>
    <n v="0.2"/>
    <x v="3"/>
    <x v="4"/>
    <x v="1"/>
    <n v="21172.99"/>
    <x v="1"/>
  </r>
  <r>
    <s v="OD20447"/>
    <d v="2024-01-24T00:00:00"/>
    <x v="1"/>
    <x v="1"/>
    <x v="10"/>
    <x v="0"/>
    <n v="2"/>
    <n v="895.55"/>
    <n v="0.25"/>
    <x v="0"/>
    <x v="2"/>
    <x v="1"/>
    <n v="1343.32"/>
    <x v="0"/>
  </r>
  <r>
    <s v="OD20448"/>
    <d v="2024-09-11T00:00:00"/>
    <x v="3"/>
    <x v="1"/>
    <x v="11"/>
    <x v="7"/>
    <n v="6"/>
    <n v="7311.34"/>
    <n v="0.2"/>
    <x v="0"/>
    <x v="4"/>
    <x v="1"/>
    <n v="35094.43"/>
    <x v="1"/>
  </r>
  <r>
    <s v="OD20449"/>
    <d v="2024-10-19T00:00:00"/>
    <x v="5"/>
    <x v="1"/>
    <x v="11"/>
    <x v="7"/>
    <n v="1"/>
    <n v="2219.9299999999998"/>
    <n v="0.15"/>
    <x v="1"/>
    <x v="2"/>
    <x v="1"/>
    <n v="1886.94"/>
    <x v="0"/>
  </r>
  <r>
    <s v="OD20450"/>
    <d v="2024-03-11T00:00:00"/>
    <x v="7"/>
    <x v="3"/>
    <x v="21"/>
    <x v="1"/>
    <n v="5"/>
    <n v="4487.32"/>
    <n v="0.05"/>
    <x v="1"/>
    <x v="0"/>
    <x v="1"/>
    <n v="21314.77"/>
    <x v="1"/>
  </r>
  <r>
    <s v="OD20451"/>
    <d v="2024-02-21T00:00:00"/>
    <x v="10"/>
    <x v="4"/>
    <x v="5"/>
    <x v="6"/>
    <n v="2"/>
    <n v="3383.76"/>
    <n v="0.05"/>
    <x v="0"/>
    <x v="1"/>
    <x v="1"/>
    <n v="6429.14"/>
    <x v="0"/>
  </r>
  <r>
    <s v="OD20452"/>
    <d v="2024-08-13T00:00:00"/>
    <x v="2"/>
    <x v="1"/>
    <x v="18"/>
    <x v="6"/>
    <n v="6"/>
    <n v="4104.09"/>
    <n v="0"/>
    <x v="0"/>
    <x v="4"/>
    <x v="0"/>
    <n v="24624.54"/>
    <x v="1"/>
  </r>
  <r>
    <s v="OD20453"/>
    <d v="2024-06-05T00:00:00"/>
    <x v="11"/>
    <x v="2"/>
    <x v="19"/>
    <x v="6"/>
    <n v="6"/>
    <n v="5856.38"/>
    <n v="0.1"/>
    <x v="2"/>
    <x v="1"/>
    <x v="1"/>
    <n v="31624.45"/>
    <x v="1"/>
  </r>
  <r>
    <s v="OD20454"/>
    <d v="2024-01-31T00:00:00"/>
    <x v="1"/>
    <x v="1"/>
    <x v="10"/>
    <x v="5"/>
    <n v="5"/>
    <n v="6982.68"/>
    <n v="0"/>
    <x v="0"/>
    <x v="0"/>
    <x v="1"/>
    <n v="34913.4"/>
    <x v="1"/>
  </r>
  <r>
    <s v="OD20455"/>
    <d v="2024-08-24T00:00:00"/>
    <x v="2"/>
    <x v="0"/>
    <x v="17"/>
    <x v="1"/>
    <n v="2"/>
    <n v="3066.64"/>
    <n v="0.2"/>
    <x v="0"/>
    <x v="0"/>
    <x v="1"/>
    <n v="4906.62"/>
    <x v="0"/>
  </r>
  <r>
    <s v="OD20456"/>
    <d v="2024-06-28T00:00:00"/>
    <x v="11"/>
    <x v="3"/>
    <x v="12"/>
    <x v="6"/>
    <n v="1"/>
    <n v="2610.1999999999998"/>
    <n v="0.2"/>
    <x v="3"/>
    <x v="4"/>
    <x v="1"/>
    <n v="2088.16"/>
    <x v="0"/>
  </r>
  <r>
    <s v="OD20457"/>
    <d v="2024-05-20T00:00:00"/>
    <x v="9"/>
    <x v="4"/>
    <x v="8"/>
    <x v="3"/>
    <n v="2"/>
    <n v="6649.47"/>
    <n v="0.2"/>
    <x v="0"/>
    <x v="1"/>
    <x v="0"/>
    <n v="10639.15"/>
    <x v="2"/>
  </r>
  <r>
    <s v="OD20458"/>
    <d v="2024-01-05T00:00:00"/>
    <x v="1"/>
    <x v="3"/>
    <x v="21"/>
    <x v="0"/>
    <n v="1"/>
    <n v="2182.19"/>
    <n v="0.25"/>
    <x v="1"/>
    <x v="0"/>
    <x v="1"/>
    <n v="1636.64"/>
    <x v="0"/>
  </r>
  <r>
    <s v="OD20459"/>
    <d v="2024-12-02T00:00:00"/>
    <x v="4"/>
    <x v="1"/>
    <x v="18"/>
    <x v="2"/>
    <n v="3"/>
    <n v="321.91000000000003"/>
    <n v="0.25"/>
    <x v="1"/>
    <x v="3"/>
    <x v="1"/>
    <n v="724.3"/>
    <x v="0"/>
  </r>
  <r>
    <s v="OD20460"/>
    <d v="2024-10-06T00:00:00"/>
    <x v="5"/>
    <x v="3"/>
    <x v="21"/>
    <x v="1"/>
    <n v="6"/>
    <n v="6493.74"/>
    <n v="0"/>
    <x v="0"/>
    <x v="2"/>
    <x v="1"/>
    <n v="38962.44"/>
    <x v="1"/>
  </r>
  <r>
    <s v="OD20461"/>
    <d v="2024-03-03T00:00:00"/>
    <x v="7"/>
    <x v="2"/>
    <x v="19"/>
    <x v="0"/>
    <n v="1"/>
    <n v="4253.78"/>
    <n v="0.1"/>
    <x v="3"/>
    <x v="1"/>
    <x v="1"/>
    <n v="3828.4"/>
    <x v="0"/>
  </r>
  <r>
    <s v="OD20462"/>
    <d v="2024-09-22T00:00:00"/>
    <x v="3"/>
    <x v="4"/>
    <x v="5"/>
    <x v="0"/>
    <n v="5"/>
    <n v="2338.4299999999998"/>
    <n v="0"/>
    <x v="2"/>
    <x v="0"/>
    <x v="1"/>
    <n v="11692.15"/>
    <x v="2"/>
  </r>
  <r>
    <s v="OD20463"/>
    <d v="2024-03-19T00:00:00"/>
    <x v="7"/>
    <x v="2"/>
    <x v="7"/>
    <x v="7"/>
    <n v="5"/>
    <n v="4226.1099999999997"/>
    <n v="0.2"/>
    <x v="0"/>
    <x v="0"/>
    <x v="0"/>
    <n v="16904.439999999999"/>
    <x v="2"/>
  </r>
  <r>
    <s v="OD20464"/>
    <d v="2024-12-05T00:00:00"/>
    <x v="4"/>
    <x v="3"/>
    <x v="4"/>
    <x v="3"/>
    <n v="3"/>
    <n v="7300.71"/>
    <n v="0.25"/>
    <x v="1"/>
    <x v="4"/>
    <x v="0"/>
    <n v="16426.599999999999"/>
    <x v="2"/>
  </r>
  <r>
    <s v="OD20465"/>
    <d v="2024-08-30T00:00:00"/>
    <x v="2"/>
    <x v="4"/>
    <x v="22"/>
    <x v="4"/>
    <n v="1"/>
    <n v="274.06"/>
    <n v="0.05"/>
    <x v="2"/>
    <x v="4"/>
    <x v="0"/>
    <n v="260.36"/>
    <x v="0"/>
  </r>
  <r>
    <s v="OD20466"/>
    <d v="2024-08-13T00:00:00"/>
    <x v="2"/>
    <x v="1"/>
    <x v="10"/>
    <x v="0"/>
    <n v="3"/>
    <n v="4749.8999999999996"/>
    <n v="0.15"/>
    <x v="0"/>
    <x v="2"/>
    <x v="0"/>
    <n v="12112.24"/>
    <x v="2"/>
  </r>
  <r>
    <s v="OD20467"/>
    <d v="2024-02-02T00:00:00"/>
    <x v="10"/>
    <x v="3"/>
    <x v="14"/>
    <x v="0"/>
    <n v="5"/>
    <n v="5594.45"/>
    <n v="0.1"/>
    <x v="1"/>
    <x v="4"/>
    <x v="1"/>
    <n v="25175.03"/>
    <x v="1"/>
  </r>
  <r>
    <s v="OD20468"/>
    <d v="2024-11-22T00:00:00"/>
    <x v="0"/>
    <x v="0"/>
    <x v="15"/>
    <x v="1"/>
    <n v="6"/>
    <n v="4146.79"/>
    <n v="0"/>
    <x v="2"/>
    <x v="4"/>
    <x v="1"/>
    <n v="24880.74"/>
    <x v="1"/>
  </r>
  <r>
    <s v="OD20469"/>
    <d v="2024-07-30T00:00:00"/>
    <x v="6"/>
    <x v="0"/>
    <x v="23"/>
    <x v="6"/>
    <n v="5"/>
    <n v="2299.41"/>
    <n v="0.1"/>
    <x v="3"/>
    <x v="1"/>
    <x v="1"/>
    <n v="10347.34"/>
    <x v="2"/>
  </r>
  <r>
    <s v="OD20470"/>
    <d v="2024-02-10T00:00:00"/>
    <x v="10"/>
    <x v="2"/>
    <x v="2"/>
    <x v="2"/>
    <n v="3"/>
    <n v="6926.99"/>
    <n v="0.05"/>
    <x v="0"/>
    <x v="3"/>
    <x v="1"/>
    <n v="19741.919999999998"/>
    <x v="2"/>
  </r>
  <r>
    <s v="OD20471"/>
    <d v="2024-11-24T00:00:00"/>
    <x v="0"/>
    <x v="3"/>
    <x v="12"/>
    <x v="3"/>
    <n v="6"/>
    <n v="4300.1499999999996"/>
    <n v="0.2"/>
    <x v="0"/>
    <x v="1"/>
    <x v="1"/>
    <n v="20640.72"/>
    <x v="1"/>
  </r>
  <r>
    <s v="OD20472"/>
    <d v="2024-12-03T00:00:00"/>
    <x v="4"/>
    <x v="2"/>
    <x v="7"/>
    <x v="0"/>
    <n v="5"/>
    <n v="3288.59"/>
    <n v="0.2"/>
    <x v="0"/>
    <x v="4"/>
    <x v="1"/>
    <n v="13154.36"/>
    <x v="2"/>
  </r>
  <r>
    <s v="OD20473"/>
    <d v="2024-12-15T00:00:00"/>
    <x v="4"/>
    <x v="3"/>
    <x v="14"/>
    <x v="6"/>
    <n v="6"/>
    <n v="747.41"/>
    <n v="0.05"/>
    <x v="0"/>
    <x v="2"/>
    <x v="1"/>
    <n v="4260.24"/>
    <x v="0"/>
  </r>
  <r>
    <s v="OD20474"/>
    <d v="2024-03-28T00:00:00"/>
    <x v="7"/>
    <x v="1"/>
    <x v="9"/>
    <x v="4"/>
    <n v="1"/>
    <n v="1372.02"/>
    <n v="0.1"/>
    <x v="3"/>
    <x v="1"/>
    <x v="1"/>
    <n v="1234.82"/>
    <x v="0"/>
  </r>
  <r>
    <s v="OD20475"/>
    <d v="2024-05-16T00:00:00"/>
    <x v="9"/>
    <x v="0"/>
    <x v="23"/>
    <x v="5"/>
    <n v="2"/>
    <n v="3249.36"/>
    <n v="0"/>
    <x v="3"/>
    <x v="3"/>
    <x v="0"/>
    <n v="6498.72"/>
    <x v="0"/>
  </r>
  <r>
    <s v="OD20476"/>
    <d v="2024-05-03T00:00:00"/>
    <x v="9"/>
    <x v="1"/>
    <x v="18"/>
    <x v="1"/>
    <n v="1"/>
    <n v="4809.37"/>
    <n v="0.25"/>
    <x v="1"/>
    <x v="1"/>
    <x v="0"/>
    <n v="3607.03"/>
    <x v="0"/>
  </r>
  <r>
    <s v="OD20477"/>
    <d v="2024-03-04T00:00:00"/>
    <x v="7"/>
    <x v="0"/>
    <x v="15"/>
    <x v="2"/>
    <n v="5"/>
    <n v="315.10000000000002"/>
    <n v="0.25"/>
    <x v="2"/>
    <x v="2"/>
    <x v="1"/>
    <n v="1181.6199999999999"/>
    <x v="0"/>
  </r>
  <r>
    <s v="OD20478"/>
    <d v="2024-12-28T00:00:00"/>
    <x v="4"/>
    <x v="1"/>
    <x v="11"/>
    <x v="5"/>
    <n v="5"/>
    <n v="6320.01"/>
    <n v="0.15"/>
    <x v="2"/>
    <x v="3"/>
    <x v="1"/>
    <n v="26860.04"/>
    <x v="1"/>
  </r>
  <r>
    <s v="OD20479"/>
    <d v="2024-06-19T00:00:00"/>
    <x v="11"/>
    <x v="2"/>
    <x v="3"/>
    <x v="2"/>
    <n v="3"/>
    <n v="5695.09"/>
    <n v="0.1"/>
    <x v="1"/>
    <x v="0"/>
    <x v="1"/>
    <n v="15376.74"/>
    <x v="2"/>
  </r>
  <r>
    <s v="OD20480"/>
    <d v="2024-02-28T00:00:00"/>
    <x v="10"/>
    <x v="3"/>
    <x v="4"/>
    <x v="4"/>
    <n v="2"/>
    <n v="5981.79"/>
    <n v="0.05"/>
    <x v="0"/>
    <x v="0"/>
    <x v="1"/>
    <n v="11365.4"/>
    <x v="2"/>
  </r>
  <r>
    <s v="OD20481"/>
    <d v="2024-03-30T00:00:00"/>
    <x v="7"/>
    <x v="3"/>
    <x v="12"/>
    <x v="2"/>
    <n v="4"/>
    <n v="746.67"/>
    <n v="0.25"/>
    <x v="0"/>
    <x v="0"/>
    <x v="1"/>
    <n v="2240.0100000000002"/>
    <x v="0"/>
  </r>
  <r>
    <s v="OD20482"/>
    <d v="2024-05-01T00:00:00"/>
    <x v="9"/>
    <x v="1"/>
    <x v="1"/>
    <x v="0"/>
    <n v="3"/>
    <n v="2542.9899999999998"/>
    <n v="0.25"/>
    <x v="3"/>
    <x v="4"/>
    <x v="1"/>
    <n v="5721.73"/>
    <x v="0"/>
  </r>
  <r>
    <s v="OD20483"/>
    <d v="2024-01-07T00:00:00"/>
    <x v="1"/>
    <x v="1"/>
    <x v="11"/>
    <x v="7"/>
    <n v="1"/>
    <n v="886.12"/>
    <n v="0"/>
    <x v="3"/>
    <x v="3"/>
    <x v="1"/>
    <n v="886.12"/>
    <x v="0"/>
  </r>
  <r>
    <s v="OD20484"/>
    <d v="2024-07-15T00:00:00"/>
    <x v="6"/>
    <x v="2"/>
    <x v="7"/>
    <x v="2"/>
    <n v="6"/>
    <n v="2203.9899999999998"/>
    <n v="0"/>
    <x v="3"/>
    <x v="3"/>
    <x v="1"/>
    <n v="13223.94"/>
    <x v="2"/>
  </r>
  <r>
    <s v="OD20485"/>
    <d v="2024-02-29T00:00:00"/>
    <x v="10"/>
    <x v="4"/>
    <x v="8"/>
    <x v="2"/>
    <n v="6"/>
    <n v="4853.3"/>
    <n v="0.1"/>
    <x v="0"/>
    <x v="3"/>
    <x v="1"/>
    <n v="26207.82"/>
    <x v="1"/>
  </r>
  <r>
    <s v="OD20486"/>
    <d v="2024-07-12T00:00:00"/>
    <x v="6"/>
    <x v="1"/>
    <x v="10"/>
    <x v="3"/>
    <n v="1"/>
    <n v="2473.35"/>
    <n v="0"/>
    <x v="0"/>
    <x v="4"/>
    <x v="0"/>
    <n v="2473.35"/>
    <x v="0"/>
  </r>
  <r>
    <s v="OD20487"/>
    <d v="2024-11-15T00:00:00"/>
    <x v="0"/>
    <x v="4"/>
    <x v="5"/>
    <x v="4"/>
    <n v="6"/>
    <n v="3902.39"/>
    <n v="0"/>
    <x v="1"/>
    <x v="3"/>
    <x v="1"/>
    <n v="23414.34"/>
    <x v="1"/>
  </r>
  <r>
    <s v="OD20488"/>
    <d v="2024-05-01T00:00:00"/>
    <x v="9"/>
    <x v="3"/>
    <x v="12"/>
    <x v="1"/>
    <n v="6"/>
    <n v="3142.56"/>
    <n v="0.1"/>
    <x v="1"/>
    <x v="4"/>
    <x v="1"/>
    <n v="16969.82"/>
    <x v="2"/>
  </r>
  <r>
    <s v="OD20489"/>
    <d v="2024-09-21T00:00:00"/>
    <x v="3"/>
    <x v="3"/>
    <x v="12"/>
    <x v="3"/>
    <n v="4"/>
    <n v="7621.22"/>
    <n v="0.05"/>
    <x v="3"/>
    <x v="3"/>
    <x v="1"/>
    <n v="28960.639999999999"/>
    <x v="1"/>
  </r>
  <r>
    <s v="OD20490"/>
    <d v="2024-03-24T00:00:00"/>
    <x v="7"/>
    <x v="4"/>
    <x v="6"/>
    <x v="5"/>
    <n v="1"/>
    <n v="3267.91"/>
    <n v="0"/>
    <x v="0"/>
    <x v="3"/>
    <x v="0"/>
    <n v="3267.91"/>
    <x v="0"/>
  </r>
  <r>
    <s v="OD20491"/>
    <d v="2024-09-06T00:00:00"/>
    <x v="3"/>
    <x v="4"/>
    <x v="8"/>
    <x v="4"/>
    <n v="1"/>
    <n v="1851.62"/>
    <n v="0.05"/>
    <x v="0"/>
    <x v="3"/>
    <x v="1"/>
    <n v="1759.04"/>
    <x v="0"/>
  </r>
  <r>
    <s v="OD20492"/>
    <d v="2024-03-07T00:00:00"/>
    <x v="7"/>
    <x v="4"/>
    <x v="8"/>
    <x v="7"/>
    <n v="2"/>
    <n v="2611.2600000000002"/>
    <n v="0.2"/>
    <x v="1"/>
    <x v="4"/>
    <x v="1"/>
    <n v="4178.0200000000004"/>
    <x v="0"/>
  </r>
  <r>
    <s v="OD20493"/>
    <d v="2024-03-18T00:00:00"/>
    <x v="7"/>
    <x v="1"/>
    <x v="9"/>
    <x v="7"/>
    <n v="2"/>
    <n v="5603.24"/>
    <n v="0"/>
    <x v="1"/>
    <x v="2"/>
    <x v="0"/>
    <n v="11206.48"/>
    <x v="2"/>
  </r>
  <r>
    <s v="OD20494"/>
    <d v="2024-08-14T00:00:00"/>
    <x v="2"/>
    <x v="0"/>
    <x v="16"/>
    <x v="4"/>
    <n v="1"/>
    <n v="879.03"/>
    <n v="0.2"/>
    <x v="0"/>
    <x v="0"/>
    <x v="0"/>
    <n v="703.22"/>
    <x v="0"/>
  </r>
  <r>
    <s v="OD20495"/>
    <d v="2024-12-05T00:00:00"/>
    <x v="4"/>
    <x v="1"/>
    <x v="11"/>
    <x v="3"/>
    <n v="1"/>
    <n v="7007.58"/>
    <n v="0.2"/>
    <x v="1"/>
    <x v="0"/>
    <x v="1"/>
    <n v="5606.06"/>
    <x v="0"/>
  </r>
  <r>
    <s v="OD20496"/>
    <d v="2024-12-24T00:00:00"/>
    <x v="4"/>
    <x v="4"/>
    <x v="8"/>
    <x v="7"/>
    <n v="2"/>
    <n v="7031.71"/>
    <n v="0"/>
    <x v="0"/>
    <x v="0"/>
    <x v="1"/>
    <n v="14063.42"/>
    <x v="2"/>
  </r>
  <r>
    <s v="OD20497"/>
    <d v="2024-07-13T00:00:00"/>
    <x v="6"/>
    <x v="1"/>
    <x v="18"/>
    <x v="1"/>
    <n v="5"/>
    <n v="7384.66"/>
    <n v="0"/>
    <x v="3"/>
    <x v="0"/>
    <x v="0"/>
    <n v="36923.300000000003"/>
    <x v="1"/>
  </r>
  <r>
    <s v="OD20498"/>
    <d v="2024-09-18T00:00:00"/>
    <x v="3"/>
    <x v="1"/>
    <x v="9"/>
    <x v="4"/>
    <n v="4"/>
    <n v="1647.92"/>
    <n v="0"/>
    <x v="3"/>
    <x v="3"/>
    <x v="0"/>
    <n v="6591.68"/>
    <x v="0"/>
  </r>
  <r>
    <s v="OD20499"/>
    <d v="2024-07-29T00:00:00"/>
    <x v="6"/>
    <x v="4"/>
    <x v="24"/>
    <x v="1"/>
    <n v="5"/>
    <n v="1156.8399999999999"/>
    <n v="0.15"/>
    <x v="3"/>
    <x v="4"/>
    <x v="1"/>
    <n v="4916.57"/>
    <x v="0"/>
  </r>
  <r>
    <s v="OD20500"/>
    <d v="2024-03-29T00:00:00"/>
    <x v="7"/>
    <x v="2"/>
    <x v="20"/>
    <x v="4"/>
    <n v="3"/>
    <n v="5176.1499999999996"/>
    <n v="0"/>
    <x v="3"/>
    <x v="0"/>
    <x v="1"/>
    <n v="15528.45"/>
    <x v="2"/>
  </r>
  <r>
    <s v="OD20501"/>
    <d v="2024-08-27T00:00:00"/>
    <x v="2"/>
    <x v="1"/>
    <x v="18"/>
    <x v="2"/>
    <n v="4"/>
    <n v="5868.27"/>
    <n v="0"/>
    <x v="0"/>
    <x v="2"/>
    <x v="1"/>
    <n v="23473.08"/>
    <x v="1"/>
  </r>
  <r>
    <s v="OD20502"/>
    <d v="2024-02-25T00:00:00"/>
    <x v="10"/>
    <x v="4"/>
    <x v="22"/>
    <x v="0"/>
    <n v="2"/>
    <n v="690.24"/>
    <n v="0"/>
    <x v="2"/>
    <x v="4"/>
    <x v="1"/>
    <n v="1380.48"/>
    <x v="0"/>
  </r>
  <r>
    <s v="OD20503"/>
    <d v="2024-06-17T00:00:00"/>
    <x v="11"/>
    <x v="1"/>
    <x v="11"/>
    <x v="0"/>
    <n v="3"/>
    <n v="3176.28"/>
    <n v="0.25"/>
    <x v="1"/>
    <x v="3"/>
    <x v="1"/>
    <n v="7146.63"/>
    <x v="0"/>
  </r>
  <r>
    <s v="OD20504"/>
    <d v="2024-02-10T00:00:00"/>
    <x v="10"/>
    <x v="3"/>
    <x v="21"/>
    <x v="1"/>
    <n v="2"/>
    <n v="2005.64"/>
    <n v="0.1"/>
    <x v="3"/>
    <x v="1"/>
    <x v="1"/>
    <n v="3610.15"/>
    <x v="0"/>
  </r>
  <r>
    <s v="OD20505"/>
    <d v="2024-09-27T00:00:00"/>
    <x v="3"/>
    <x v="3"/>
    <x v="13"/>
    <x v="4"/>
    <n v="6"/>
    <n v="2520.21"/>
    <n v="0"/>
    <x v="0"/>
    <x v="0"/>
    <x v="1"/>
    <n v="15121.26"/>
    <x v="2"/>
  </r>
  <r>
    <s v="OD20506"/>
    <d v="2024-07-09T00:00:00"/>
    <x v="6"/>
    <x v="3"/>
    <x v="13"/>
    <x v="1"/>
    <n v="4"/>
    <n v="7878.73"/>
    <n v="0.1"/>
    <x v="0"/>
    <x v="2"/>
    <x v="1"/>
    <n v="28363.43"/>
    <x v="1"/>
  </r>
  <r>
    <s v="OD20507"/>
    <d v="2024-04-07T00:00:00"/>
    <x v="8"/>
    <x v="2"/>
    <x v="19"/>
    <x v="5"/>
    <n v="3"/>
    <n v="7794.04"/>
    <n v="0.1"/>
    <x v="2"/>
    <x v="4"/>
    <x v="1"/>
    <n v="21043.91"/>
    <x v="1"/>
  </r>
  <r>
    <s v="OD20508"/>
    <d v="2024-12-19T00:00:00"/>
    <x v="4"/>
    <x v="3"/>
    <x v="14"/>
    <x v="3"/>
    <n v="4"/>
    <n v="6293.3"/>
    <n v="0.15"/>
    <x v="0"/>
    <x v="2"/>
    <x v="1"/>
    <n v="21397.22"/>
    <x v="1"/>
  </r>
  <r>
    <s v="OD20509"/>
    <d v="2024-02-12T00:00:00"/>
    <x v="10"/>
    <x v="2"/>
    <x v="7"/>
    <x v="0"/>
    <n v="1"/>
    <n v="4666.24"/>
    <n v="0"/>
    <x v="2"/>
    <x v="1"/>
    <x v="1"/>
    <n v="4666.24"/>
    <x v="0"/>
  </r>
  <r>
    <s v="OD20510"/>
    <d v="2024-09-07T00:00:00"/>
    <x v="3"/>
    <x v="2"/>
    <x v="20"/>
    <x v="6"/>
    <n v="1"/>
    <n v="3836.05"/>
    <n v="0.1"/>
    <x v="0"/>
    <x v="1"/>
    <x v="1"/>
    <n v="3452.45"/>
    <x v="0"/>
  </r>
  <r>
    <s v="OD20511"/>
    <d v="2024-09-30T00:00:00"/>
    <x v="3"/>
    <x v="2"/>
    <x v="2"/>
    <x v="1"/>
    <n v="4"/>
    <n v="4843.21"/>
    <n v="0.1"/>
    <x v="0"/>
    <x v="1"/>
    <x v="1"/>
    <n v="17435.560000000001"/>
    <x v="2"/>
  </r>
  <r>
    <s v="OD20512"/>
    <d v="2024-02-29T00:00:00"/>
    <x v="10"/>
    <x v="1"/>
    <x v="18"/>
    <x v="1"/>
    <n v="3"/>
    <n v="6047.07"/>
    <n v="0.05"/>
    <x v="0"/>
    <x v="0"/>
    <x v="1"/>
    <n v="17234.150000000001"/>
    <x v="2"/>
  </r>
  <r>
    <s v="OD20513"/>
    <d v="2024-12-03T00:00:00"/>
    <x v="4"/>
    <x v="2"/>
    <x v="7"/>
    <x v="1"/>
    <n v="6"/>
    <n v="253.12"/>
    <n v="0.15"/>
    <x v="0"/>
    <x v="3"/>
    <x v="1"/>
    <n v="1290.9100000000001"/>
    <x v="0"/>
  </r>
  <r>
    <s v="OD20514"/>
    <d v="2024-03-11T00:00:00"/>
    <x v="7"/>
    <x v="0"/>
    <x v="17"/>
    <x v="1"/>
    <n v="2"/>
    <n v="3017.63"/>
    <n v="0.15"/>
    <x v="0"/>
    <x v="0"/>
    <x v="1"/>
    <n v="5129.97"/>
    <x v="0"/>
  </r>
  <r>
    <s v="OD20515"/>
    <d v="2024-06-24T00:00:00"/>
    <x v="11"/>
    <x v="0"/>
    <x v="23"/>
    <x v="2"/>
    <n v="4"/>
    <n v="7356.24"/>
    <n v="0.1"/>
    <x v="2"/>
    <x v="2"/>
    <x v="0"/>
    <n v="26482.46"/>
    <x v="1"/>
  </r>
  <r>
    <s v="OD20516"/>
    <d v="2024-01-18T00:00:00"/>
    <x v="1"/>
    <x v="1"/>
    <x v="11"/>
    <x v="6"/>
    <n v="2"/>
    <n v="5649.59"/>
    <n v="0.1"/>
    <x v="0"/>
    <x v="3"/>
    <x v="1"/>
    <n v="10169.26"/>
    <x v="2"/>
  </r>
  <r>
    <s v="OD20517"/>
    <d v="2024-04-06T00:00:00"/>
    <x v="8"/>
    <x v="1"/>
    <x v="18"/>
    <x v="3"/>
    <n v="1"/>
    <n v="5731.62"/>
    <n v="0"/>
    <x v="0"/>
    <x v="1"/>
    <x v="0"/>
    <n v="5731.62"/>
    <x v="0"/>
  </r>
  <r>
    <s v="OD20518"/>
    <d v="2024-07-11T00:00:00"/>
    <x v="6"/>
    <x v="2"/>
    <x v="20"/>
    <x v="4"/>
    <n v="2"/>
    <n v="2531.7800000000002"/>
    <n v="0.15"/>
    <x v="3"/>
    <x v="2"/>
    <x v="0"/>
    <n v="4304.03"/>
    <x v="0"/>
  </r>
  <r>
    <s v="OD20519"/>
    <d v="2024-04-11T00:00:00"/>
    <x v="8"/>
    <x v="4"/>
    <x v="5"/>
    <x v="6"/>
    <n v="5"/>
    <n v="4095.6"/>
    <n v="0"/>
    <x v="1"/>
    <x v="3"/>
    <x v="1"/>
    <n v="20478"/>
    <x v="1"/>
  </r>
  <r>
    <s v="OD20520"/>
    <d v="2024-10-13T00:00:00"/>
    <x v="5"/>
    <x v="1"/>
    <x v="1"/>
    <x v="6"/>
    <n v="6"/>
    <n v="5192.17"/>
    <n v="0.15"/>
    <x v="1"/>
    <x v="0"/>
    <x v="1"/>
    <n v="26480.07"/>
    <x v="1"/>
  </r>
  <r>
    <s v="OD20521"/>
    <d v="2024-06-03T00:00:00"/>
    <x v="11"/>
    <x v="4"/>
    <x v="22"/>
    <x v="7"/>
    <n v="5"/>
    <n v="6671.41"/>
    <n v="0.1"/>
    <x v="3"/>
    <x v="1"/>
    <x v="0"/>
    <n v="30021.35"/>
    <x v="1"/>
  </r>
  <r>
    <s v="OD20522"/>
    <d v="2024-11-06T00:00:00"/>
    <x v="0"/>
    <x v="3"/>
    <x v="4"/>
    <x v="2"/>
    <n v="2"/>
    <n v="273.98"/>
    <n v="0.25"/>
    <x v="3"/>
    <x v="0"/>
    <x v="1"/>
    <n v="410.97"/>
    <x v="0"/>
  </r>
  <r>
    <s v="OD20523"/>
    <d v="2024-03-10T00:00:00"/>
    <x v="7"/>
    <x v="2"/>
    <x v="3"/>
    <x v="1"/>
    <n v="4"/>
    <n v="7959.33"/>
    <n v="0.1"/>
    <x v="0"/>
    <x v="1"/>
    <x v="1"/>
    <n v="28653.59"/>
    <x v="1"/>
  </r>
  <r>
    <s v="OD20524"/>
    <d v="2024-08-10T00:00:00"/>
    <x v="2"/>
    <x v="4"/>
    <x v="22"/>
    <x v="2"/>
    <n v="4"/>
    <n v="5624.54"/>
    <n v="0"/>
    <x v="3"/>
    <x v="1"/>
    <x v="1"/>
    <n v="22498.16"/>
    <x v="1"/>
  </r>
  <r>
    <s v="OD20525"/>
    <d v="2024-09-19T00:00:00"/>
    <x v="3"/>
    <x v="4"/>
    <x v="24"/>
    <x v="4"/>
    <n v="4"/>
    <n v="6445.94"/>
    <n v="0.05"/>
    <x v="2"/>
    <x v="0"/>
    <x v="1"/>
    <n v="24494.57"/>
    <x v="1"/>
  </r>
  <r>
    <s v="OD20526"/>
    <d v="2024-09-22T00:00:00"/>
    <x v="3"/>
    <x v="2"/>
    <x v="3"/>
    <x v="4"/>
    <n v="2"/>
    <n v="1229.3499999999999"/>
    <n v="0"/>
    <x v="0"/>
    <x v="3"/>
    <x v="1"/>
    <n v="2458.6999999999998"/>
    <x v="0"/>
  </r>
  <r>
    <s v="OD20527"/>
    <d v="2024-06-03T00:00:00"/>
    <x v="11"/>
    <x v="4"/>
    <x v="24"/>
    <x v="0"/>
    <n v="6"/>
    <n v="5119.09"/>
    <n v="0.05"/>
    <x v="2"/>
    <x v="4"/>
    <x v="1"/>
    <n v="29178.81"/>
    <x v="1"/>
  </r>
  <r>
    <s v="OD20528"/>
    <d v="2024-08-13T00:00:00"/>
    <x v="2"/>
    <x v="0"/>
    <x v="17"/>
    <x v="6"/>
    <n v="1"/>
    <n v="1070.8699999999999"/>
    <n v="0.15"/>
    <x v="1"/>
    <x v="3"/>
    <x v="1"/>
    <n v="910.24"/>
    <x v="0"/>
  </r>
  <r>
    <s v="OD20529"/>
    <d v="2024-10-22T00:00:00"/>
    <x v="5"/>
    <x v="2"/>
    <x v="3"/>
    <x v="3"/>
    <n v="4"/>
    <n v="4644.7700000000004"/>
    <n v="0.05"/>
    <x v="0"/>
    <x v="2"/>
    <x v="1"/>
    <n v="17650.13"/>
    <x v="2"/>
  </r>
  <r>
    <s v="OD20530"/>
    <d v="2024-07-09T00:00:00"/>
    <x v="6"/>
    <x v="1"/>
    <x v="18"/>
    <x v="1"/>
    <n v="3"/>
    <n v="7779.32"/>
    <n v="0"/>
    <x v="3"/>
    <x v="4"/>
    <x v="0"/>
    <n v="23337.96"/>
    <x v="1"/>
  </r>
  <r>
    <s v="OD20531"/>
    <d v="2024-10-16T00:00:00"/>
    <x v="5"/>
    <x v="0"/>
    <x v="17"/>
    <x v="6"/>
    <n v="1"/>
    <n v="1337.97"/>
    <n v="0"/>
    <x v="1"/>
    <x v="1"/>
    <x v="1"/>
    <n v="1337.97"/>
    <x v="0"/>
  </r>
  <r>
    <s v="OD20532"/>
    <d v="2024-08-15T00:00:00"/>
    <x v="2"/>
    <x v="4"/>
    <x v="22"/>
    <x v="3"/>
    <n v="4"/>
    <n v="1066.2"/>
    <n v="0.05"/>
    <x v="0"/>
    <x v="0"/>
    <x v="1"/>
    <n v="4051.56"/>
    <x v="0"/>
  </r>
  <r>
    <s v="OD20533"/>
    <d v="2024-02-05T00:00:00"/>
    <x v="10"/>
    <x v="3"/>
    <x v="13"/>
    <x v="6"/>
    <n v="6"/>
    <n v="6500.24"/>
    <n v="0.25"/>
    <x v="2"/>
    <x v="4"/>
    <x v="0"/>
    <n v="29251.08"/>
    <x v="1"/>
  </r>
  <r>
    <s v="OD20534"/>
    <d v="2024-06-24T00:00:00"/>
    <x v="11"/>
    <x v="2"/>
    <x v="2"/>
    <x v="3"/>
    <n v="2"/>
    <n v="4647.47"/>
    <n v="0.15"/>
    <x v="0"/>
    <x v="2"/>
    <x v="0"/>
    <n v="7900.7"/>
    <x v="0"/>
  </r>
  <r>
    <s v="OD20535"/>
    <d v="2024-02-26T00:00:00"/>
    <x v="10"/>
    <x v="0"/>
    <x v="15"/>
    <x v="2"/>
    <n v="3"/>
    <n v="3371.86"/>
    <n v="0.05"/>
    <x v="1"/>
    <x v="1"/>
    <x v="1"/>
    <n v="9609.7999999999993"/>
    <x v="0"/>
  </r>
  <r>
    <s v="OD20536"/>
    <d v="2024-09-20T00:00:00"/>
    <x v="3"/>
    <x v="0"/>
    <x v="15"/>
    <x v="4"/>
    <n v="3"/>
    <n v="2149.11"/>
    <n v="0.1"/>
    <x v="3"/>
    <x v="4"/>
    <x v="1"/>
    <n v="5802.6"/>
    <x v="0"/>
  </r>
  <r>
    <s v="OD20537"/>
    <d v="2024-03-08T00:00:00"/>
    <x v="7"/>
    <x v="2"/>
    <x v="2"/>
    <x v="3"/>
    <n v="2"/>
    <n v="5842.62"/>
    <n v="0.05"/>
    <x v="3"/>
    <x v="1"/>
    <x v="1"/>
    <n v="11100.98"/>
    <x v="2"/>
  </r>
  <r>
    <s v="OD20538"/>
    <d v="2024-03-31T00:00:00"/>
    <x v="7"/>
    <x v="3"/>
    <x v="13"/>
    <x v="1"/>
    <n v="5"/>
    <n v="2768.16"/>
    <n v="0.1"/>
    <x v="3"/>
    <x v="0"/>
    <x v="1"/>
    <n v="12456.72"/>
    <x v="2"/>
  </r>
  <r>
    <s v="OD20539"/>
    <d v="2024-12-14T00:00:00"/>
    <x v="4"/>
    <x v="1"/>
    <x v="11"/>
    <x v="7"/>
    <n v="5"/>
    <n v="2231.69"/>
    <n v="0.2"/>
    <x v="0"/>
    <x v="4"/>
    <x v="1"/>
    <n v="8926.76"/>
    <x v="0"/>
  </r>
  <r>
    <s v="OD20540"/>
    <d v="2024-05-29T00:00:00"/>
    <x v="9"/>
    <x v="0"/>
    <x v="15"/>
    <x v="6"/>
    <n v="3"/>
    <n v="6329.92"/>
    <n v="0"/>
    <x v="1"/>
    <x v="3"/>
    <x v="1"/>
    <n v="18989.759999999998"/>
    <x v="2"/>
  </r>
  <r>
    <s v="OD20541"/>
    <d v="2024-11-18T00:00:00"/>
    <x v="0"/>
    <x v="2"/>
    <x v="7"/>
    <x v="5"/>
    <n v="5"/>
    <n v="6943.58"/>
    <n v="0.1"/>
    <x v="0"/>
    <x v="2"/>
    <x v="1"/>
    <n v="31246.11"/>
    <x v="1"/>
  </r>
  <r>
    <s v="OD20542"/>
    <d v="2024-10-10T00:00:00"/>
    <x v="5"/>
    <x v="3"/>
    <x v="13"/>
    <x v="7"/>
    <n v="3"/>
    <n v="5717.56"/>
    <n v="0.1"/>
    <x v="2"/>
    <x v="3"/>
    <x v="1"/>
    <n v="15437.41"/>
    <x v="2"/>
  </r>
  <r>
    <s v="OD20543"/>
    <d v="2024-06-28T00:00:00"/>
    <x v="11"/>
    <x v="3"/>
    <x v="14"/>
    <x v="0"/>
    <n v="5"/>
    <n v="1615.64"/>
    <n v="0.2"/>
    <x v="0"/>
    <x v="4"/>
    <x v="1"/>
    <n v="6462.56"/>
    <x v="0"/>
  </r>
  <r>
    <s v="OD20544"/>
    <d v="2024-10-10T00:00:00"/>
    <x v="5"/>
    <x v="1"/>
    <x v="9"/>
    <x v="5"/>
    <n v="2"/>
    <n v="390.83"/>
    <n v="0.15"/>
    <x v="2"/>
    <x v="4"/>
    <x v="1"/>
    <n v="664.41"/>
    <x v="0"/>
  </r>
  <r>
    <s v="OD20545"/>
    <d v="2024-02-14T00:00:00"/>
    <x v="10"/>
    <x v="1"/>
    <x v="1"/>
    <x v="7"/>
    <n v="1"/>
    <n v="5254.38"/>
    <n v="0.05"/>
    <x v="0"/>
    <x v="3"/>
    <x v="1"/>
    <n v="4991.66"/>
    <x v="0"/>
  </r>
  <r>
    <s v="OD20546"/>
    <d v="2024-06-12T00:00:00"/>
    <x v="11"/>
    <x v="4"/>
    <x v="24"/>
    <x v="1"/>
    <n v="2"/>
    <n v="1200.28"/>
    <n v="0.05"/>
    <x v="3"/>
    <x v="4"/>
    <x v="1"/>
    <n v="2280.5300000000002"/>
    <x v="0"/>
  </r>
  <r>
    <s v="OD20547"/>
    <d v="2024-09-27T00:00:00"/>
    <x v="3"/>
    <x v="4"/>
    <x v="22"/>
    <x v="5"/>
    <n v="3"/>
    <n v="4907.68"/>
    <n v="0.25"/>
    <x v="1"/>
    <x v="4"/>
    <x v="0"/>
    <n v="11042.28"/>
    <x v="2"/>
  </r>
  <r>
    <s v="OD20548"/>
    <d v="2024-03-18T00:00:00"/>
    <x v="7"/>
    <x v="2"/>
    <x v="7"/>
    <x v="5"/>
    <n v="3"/>
    <n v="2677.94"/>
    <n v="0.2"/>
    <x v="0"/>
    <x v="2"/>
    <x v="1"/>
    <n v="6427.06"/>
    <x v="0"/>
  </r>
  <r>
    <s v="OD20549"/>
    <d v="2024-12-20T00:00:00"/>
    <x v="4"/>
    <x v="3"/>
    <x v="12"/>
    <x v="1"/>
    <n v="1"/>
    <n v="3066.74"/>
    <n v="0.15"/>
    <x v="1"/>
    <x v="2"/>
    <x v="1"/>
    <n v="2606.73"/>
    <x v="0"/>
  </r>
  <r>
    <s v="OD20550"/>
    <d v="2024-06-10T00:00:00"/>
    <x v="11"/>
    <x v="0"/>
    <x v="15"/>
    <x v="5"/>
    <n v="1"/>
    <n v="2922.95"/>
    <n v="0.2"/>
    <x v="1"/>
    <x v="2"/>
    <x v="1"/>
    <n v="2338.36"/>
    <x v="0"/>
  </r>
  <r>
    <s v="OD20551"/>
    <d v="2024-12-21T00:00:00"/>
    <x v="4"/>
    <x v="3"/>
    <x v="21"/>
    <x v="5"/>
    <n v="2"/>
    <n v="5306.5"/>
    <n v="0.2"/>
    <x v="0"/>
    <x v="1"/>
    <x v="1"/>
    <n v="8490.4"/>
    <x v="0"/>
  </r>
  <r>
    <s v="OD20552"/>
    <d v="2024-03-09T00:00:00"/>
    <x v="7"/>
    <x v="2"/>
    <x v="20"/>
    <x v="5"/>
    <n v="2"/>
    <n v="957.82"/>
    <n v="0.05"/>
    <x v="1"/>
    <x v="1"/>
    <x v="0"/>
    <n v="1915.5900000000001"/>
    <x v="0"/>
  </r>
  <r>
    <s v="OD20553"/>
    <d v="2024-03-19T00:00:00"/>
    <x v="7"/>
    <x v="1"/>
    <x v="1"/>
    <x v="6"/>
    <n v="4"/>
    <n v="4320.37"/>
    <n v="0.05"/>
    <x v="0"/>
    <x v="0"/>
    <x v="1"/>
    <n v="16417.41"/>
    <x v="2"/>
  </r>
  <r>
    <s v="OD20554"/>
    <d v="2024-06-04T00:00:00"/>
    <x v="11"/>
    <x v="3"/>
    <x v="12"/>
    <x v="7"/>
    <n v="5"/>
    <n v="5894.84"/>
    <n v="0.25"/>
    <x v="0"/>
    <x v="4"/>
    <x v="1"/>
    <n v="22105.65"/>
    <x v="1"/>
  </r>
  <r>
    <s v="OD20555"/>
    <d v="2024-01-05T00:00:00"/>
    <x v="1"/>
    <x v="3"/>
    <x v="13"/>
    <x v="4"/>
    <n v="3"/>
    <n v="3902.96"/>
    <n v="0.2"/>
    <x v="0"/>
    <x v="0"/>
    <x v="0"/>
    <n v="9367.1"/>
    <x v="0"/>
  </r>
  <r>
    <s v="OD20556"/>
    <d v="2024-06-13T00:00:00"/>
    <x v="11"/>
    <x v="3"/>
    <x v="4"/>
    <x v="0"/>
    <n v="2"/>
    <n v="2199.69"/>
    <n v="0.25"/>
    <x v="1"/>
    <x v="0"/>
    <x v="1"/>
    <n v="3299.53"/>
    <x v="0"/>
  </r>
  <r>
    <s v="OD20557"/>
    <d v="2024-09-06T00:00:00"/>
    <x v="3"/>
    <x v="2"/>
    <x v="20"/>
    <x v="7"/>
    <n v="6"/>
    <n v="1856.15"/>
    <n v="0.2"/>
    <x v="0"/>
    <x v="1"/>
    <x v="1"/>
    <n v="8909.52"/>
    <x v="0"/>
  </r>
  <r>
    <s v="OD20558"/>
    <d v="2024-06-23T00:00:00"/>
    <x v="11"/>
    <x v="1"/>
    <x v="11"/>
    <x v="6"/>
    <n v="1"/>
    <n v="3300.3"/>
    <n v="0.1"/>
    <x v="0"/>
    <x v="0"/>
    <x v="1"/>
    <n v="2970.27"/>
    <x v="0"/>
  </r>
  <r>
    <s v="OD20559"/>
    <d v="2024-08-20T00:00:00"/>
    <x v="2"/>
    <x v="2"/>
    <x v="2"/>
    <x v="3"/>
    <n v="4"/>
    <n v="6876.95"/>
    <n v="0.2"/>
    <x v="0"/>
    <x v="4"/>
    <x v="0"/>
    <n v="22006.240000000002"/>
    <x v="1"/>
  </r>
  <r>
    <s v="OD20560"/>
    <d v="2024-05-18T00:00:00"/>
    <x v="9"/>
    <x v="4"/>
    <x v="24"/>
    <x v="6"/>
    <n v="3"/>
    <n v="5940.31"/>
    <n v="0"/>
    <x v="0"/>
    <x v="3"/>
    <x v="1"/>
    <n v="17820.93"/>
    <x v="2"/>
  </r>
  <r>
    <s v="OD20561"/>
    <d v="2024-03-13T00:00:00"/>
    <x v="7"/>
    <x v="0"/>
    <x v="23"/>
    <x v="1"/>
    <n v="2"/>
    <n v="6357.21"/>
    <n v="0"/>
    <x v="2"/>
    <x v="2"/>
    <x v="1"/>
    <n v="12714.42"/>
    <x v="2"/>
  </r>
  <r>
    <s v="OD20562"/>
    <d v="2024-07-10T00:00:00"/>
    <x v="6"/>
    <x v="2"/>
    <x v="3"/>
    <x v="2"/>
    <n v="2"/>
    <n v="7990.18"/>
    <n v="0.1"/>
    <x v="0"/>
    <x v="4"/>
    <x v="1"/>
    <n v="14382.32"/>
    <x v="2"/>
  </r>
  <r>
    <s v="OD20563"/>
    <d v="2024-10-21T00:00:00"/>
    <x v="5"/>
    <x v="3"/>
    <x v="4"/>
    <x v="0"/>
    <n v="3"/>
    <n v="7296.63"/>
    <n v="0"/>
    <x v="0"/>
    <x v="4"/>
    <x v="0"/>
    <n v="21889.89"/>
    <x v="1"/>
  </r>
  <r>
    <s v="OD20564"/>
    <d v="2024-02-18T00:00:00"/>
    <x v="10"/>
    <x v="1"/>
    <x v="9"/>
    <x v="3"/>
    <n v="5"/>
    <n v="7372.85"/>
    <n v="0"/>
    <x v="2"/>
    <x v="0"/>
    <x v="1"/>
    <n v="36864.25"/>
    <x v="1"/>
  </r>
  <r>
    <s v="OD20565"/>
    <d v="2024-09-22T00:00:00"/>
    <x v="3"/>
    <x v="1"/>
    <x v="11"/>
    <x v="1"/>
    <n v="3"/>
    <n v="7853.58"/>
    <n v="0.25"/>
    <x v="1"/>
    <x v="1"/>
    <x v="0"/>
    <n v="17670.560000000001"/>
    <x v="2"/>
  </r>
  <r>
    <s v="OD20566"/>
    <d v="2024-03-15T00:00:00"/>
    <x v="7"/>
    <x v="3"/>
    <x v="4"/>
    <x v="2"/>
    <n v="4"/>
    <n v="2847.24"/>
    <n v="0.2"/>
    <x v="3"/>
    <x v="4"/>
    <x v="1"/>
    <n v="9111.17"/>
    <x v="0"/>
  </r>
  <r>
    <s v="OD20567"/>
    <d v="2024-10-30T00:00:00"/>
    <x v="5"/>
    <x v="1"/>
    <x v="10"/>
    <x v="3"/>
    <n v="6"/>
    <n v="7070.54"/>
    <n v="0.05"/>
    <x v="1"/>
    <x v="3"/>
    <x v="0"/>
    <n v="40302.080000000002"/>
    <x v="1"/>
  </r>
  <r>
    <s v="OD20568"/>
    <d v="2024-05-03T00:00:00"/>
    <x v="9"/>
    <x v="4"/>
    <x v="22"/>
    <x v="6"/>
    <n v="5"/>
    <n v="981.07"/>
    <n v="0.25"/>
    <x v="0"/>
    <x v="3"/>
    <x v="1"/>
    <n v="3679.01"/>
    <x v="0"/>
  </r>
  <r>
    <s v="OD20569"/>
    <d v="2024-08-10T00:00:00"/>
    <x v="2"/>
    <x v="2"/>
    <x v="3"/>
    <x v="7"/>
    <n v="3"/>
    <n v="7959.99"/>
    <n v="0.05"/>
    <x v="3"/>
    <x v="4"/>
    <x v="0"/>
    <n v="22685.97"/>
    <x v="1"/>
  </r>
  <r>
    <s v="OD20570"/>
    <d v="2024-02-23T00:00:00"/>
    <x v="10"/>
    <x v="3"/>
    <x v="13"/>
    <x v="3"/>
    <n v="1"/>
    <n v="6007.98"/>
    <n v="0.15"/>
    <x v="0"/>
    <x v="0"/>
    <x v="1"/>
    <n v="5106.78"/>
    <x v="0"/>
  </r>
  <r>
    <s v="OD20571"/>
    <d v="2024-04-05T00:00:00"/>
    <x v="8"/>
    <x v="2"/>
    <x v="19"/>
    <x v="3"/>
    <n v="4"/>
    <n v="2409.41"/>
    <n v="0"/>
    <x v="2"/>
    <x v="1"/>
    <x v="1"/>
    <n v="9637.64"/>
    <x v="0"/>
  </r>
  <r>
    <s v="OD20572"/>
    <d v="2024-08-11T00:00:00"/>
    <x v="2"/>
    <x v="4"/>
    <x v="5"/>
    <x v="3"/>
    <n v="5"/>
    <n v="5269.68"/>
    <n v="0.05"/>
    <x v="0"/>
    <x v="3"/>
    <x v="1"/>
    <n v="25030.98"/>
    <x v="1"/>
  </r>
  <r>
    <s v="OD20573"/>
    <d v="2024-01-01T00:00:00"/>
    <x v="1"/>
    <x v="1"/>
    <x v="18"/>
    <x v="3"/>
    <n v="4"/>
    <n v="709.91"/>
    <n v="0"/>
    <x v="2"/>
    <x v="1"/>
    <x v="1"/>
    <n v="2839.64"/>
    <x v="0"/>
  </r>
  <r>
    <s v="OD20574"/>
    <d v="2024-07-02T00:00:00"/>
    <x v="6"/>
    <x v="4"/>
    <x v="22"/>
    <x v="6"/>
    <n v="6"/>
    <n v="5016.6899999999996"/>
    <n v="0.1"/>
    <x v="0"/>
    <x v="4"/>
    <x v="0"/>
    <n v="27090.13"/>
    <x v="1"/>
  </r>
  <r>
    <s v="OD20575"/>
    <d v="2024-11-08T00:00:00"/>
    <x v="0"/>
    <x v="3"/>
    <x v="21"/>
    <x v="2"/>
    <n v="6"/>
    <n v="6499.15"/>
    <n v="0"/>
    <x v="0"/>
    <x v="0"/>
    <x v="1"/>
    <n v="38994.9"/>
    <x v="1"/>
  </r>
  <r>
    <s v="OD20576"/>
    <d v="2024-03-13T00:00:00"/>
    <x v="7"/>
    <x v="3"/>
    <x v="4"/>
    <x v="3"/>
    <n v="5"/>
    <n v="426.78"/>
    <n v="0.25"/>
    <x v="0"/>
    <x v="2"/>
    <x v="1"/>
    <n v="1600.42"/>
    <x v="0"/>
  </r>
  <r>
    <s v="OD20577"/>
    <d v="2024-02-07T00:00:00"/>
    <x v="10"/>
    <x v="0"/>
    <x v="17"/>
    <x v="5"/>
    <n v="4"/>
    <n v="6545.75"/>
    <n v="0"/>
    <x v="2"/>
    <x v="3"/>
    <x v="0"/>
    <n v="26183"/>
    <x v="1"/>
  </r>
  <r>
    <s v="OD20578"/>
    <d v="2024-02-17T00:00:00"/>
    <x v="10"/>
    <x v="0"/>
    <x v="17"/>
    <x v="0"/>
    <n v="5"/>
    <n v="6659.3"/>
    <n v="0.1"/>
    <x v="3"/>
    <x v="4"/>
    <x v="1"/>
    <n v="33296.400000000001"/>
    <x v="1"/>
  </r>
  <r>
    <s v="OD20579"/>
    <d v="2024-09-28T00:00:00"/>
    <x v="3"/>
    <x v="2"/>
    <x v="20"/>
    <x v="4"/>
    <n v="6"/>
    <n v="7427.63"/>
    <n v="0"/>
    <x v="0"/>
    <x v="0"/>
    <x v="0"/>
    <n v="44565.78"/>
    <x v="1"/>
  </r>
  <r>
    <s v="OD20580"/>
    <d v="2024-09-13T00:00:00"/>
    <x v="3"/>
    <x v="0"/>
    <x v="16"/>
    <x v="4"/>
    <n v="4"/>
    <n v="1713.64"/>
    <n v="0.1"/>
    <x v="2"/>
    <x v="0"/>
    <x v="1"/>
    <n v="6169.1"/>
    <x v="0"/>
  </r>
  <r>
    <s v="OD20581"/>
    <d v="2024-07-17T00:00:00"/>
    <x v="6"/>
    <x v="0"/>
    <x v="17"/>
    <x v="7"/>
    <n v="5"/>
    <n v="1952.64"/>
    <n v="0.2"/>
    <x v="0"/>
    <x v="3"/>
    <x v="0"/>
    <n v="7810.56"/>
    <x v="0"/>
  </r>
  <r>
    <s v="OD20582"/>
    <d v="2024-11-13T00:00:00"/>
    <x v="0"/>
    <x v="1"/>
    <x v="1"/>
    <x v="4"/>
    <n v="5"/>
    <n v="1935.34"/>
    <n v="0.2"/>
    <x v="3"/>
    <x v="0"/>
    <x v="1"/>
    <n v="7741.36"/>
    <x v="0"/>
  </r>
  <r>
    <s v="OD20583"/>
    <d v="2024-01-31T00:00:00"/>
    <x v="1"/>
    <x v="4"/>
    <x v="22"/>
    <x v="3"/>
    <n v="3"/>
    <n v="1860.9"/>
    <n v="0.1"/>
    <x v="3"/>
    <x v="4"/>
    <x v="1"/>
    <n v="5024.43"/>
    <x v="0"/>
  </r>
  <r>
    <s v="OD20584"/>
    <d v="2024-02-07T00:00:00"/>
    <x v="10"/>
    <x v="3"/>
    <x v="4"/>
    <x v="4"/>
    <n v="1"/>
    <n v="7941.69"/>
    <n v="0.05"/>
    <x v="0"/>
    <x v="1"/>
    <x v="1"/>
    <n v="7544.61"/>
    <x v="0"/>
  </r>
  <r>
    <s v="OD20585"/>
    <d v="2024-06-15T00:00:00"/>
    <x v="11"/>
    <x v="3"/>
    <x v="21"/>
    <x v="6"/>
    <n v="2"/>
    <n v="3403.76"/>
    <n v="0.15"/>
    <x v="0"/>
    <x v="0"/>
    <x v="0"/>
    <n v="5786.39"/>
    <x v="0"/>
  </r>
  <r>
    <s v="OD20586"/>
    <d v="2024-08-22T00:00:00"/>
    <x v="2"/>
    <x v="1"/>
    <x v="1"/>
    <x v="3"/>
    <n v="6"/>
    <n v="1761.82"/>
    <n v="0.25"/>
    <x v="0"/>
    <x v="2"/>
    <x v="1"/>
    <n v="7928.19"/>
    <x v="0"/>
  </r>
  <r>
    <s v="OD20587"/>
    <d v="2024-11-17T00:00:00"/>
    <x v="0"/>
    <x v="2"/>
    <x v="20"/>
    <x v="6"/>
    <n v="5"/>
    <n v="5019.0600000000004"/>
    <n v="0.2"/>
    <x v="2"/>
    <x v="2"/>
    <x v="0"/>
    <n v="20076.240000000002"/>
    <x v="1"/>
  </r>
  <r>
    <s v="OD20588"/>
    <d v="2024-06-26T00:00:00"/>
    <x v="11"/>
    <x v="3"/>
    <x v="12"/>
    <x v="3"/>
    <n v="1"/>
    <n v="1722.4"/>
    <n v="0.2"/>
    <x v="0"/>
    <x v="1"/>
    <x v="1"/>
    <n v="1377.92"/>
    <x v="0"/>
  </r>
  <r>
    <s v="OD20589"/>
    <d v="2024-08-05T00:00:00"/>
    <x v="2"/>
    <x v="4"/>
    <x v="5"/>
    <x v="5"/>
    <n v="5"/>
    <n v="1596.83"/>
    <n v="0.05"/>
    <x v="0"/>
    <x v="1"/>
    <x v="1"/>
    <n v="7584.94"/>
    <x v="0"/>
  </r>
  <r>
    <s v="OD20590"/>
    <d v="2024-05-03T00:00:00"/>
    <x v="9"/>
    <x v="2"/>
    <x v="2"/>
    <x v="6"/>
    <n v="2"/>
    <n v="1303.6099999999999"/>
    <n v="0"/>
    <x v="3"/>
    <x v="1"/>
    <x v="0"/>
    <n v="2607.2199999999998"/>
    <x v="0"/>
  </r>
  <r>
    <s v="OD20591"/>
    <d v="2024-01-14T00:00:00"/>
    <x v="1"/>
    <x v="2"/>
    <x v="20"/>
    <x v="2"/>
    <n v="6"/>
    <n v="887.53"/>
    <n v="0"/>
    <x v="0"/>
    <x v="2"/>
    <x v="1"/>
    <n v="5325.18"/>
    <x v="0"/>
  </r>
  <r>
    <s v="OD20592"/>
    <d v="2024-10-13T00:00:00"/>
    <x v="5"/>
    <x v="4"/>
    <x v="8"/>
    <x v="0"/>
    <n v="5"/>
    <n v="7980.13"/>
    <n v="0.05"/>
    <x v="1"/>
    <x v="2"/>
    <x v="1"/>
    <n v="37905.620000000003"/>
    <x v="1"/>
  </r>
  <r>
    <s v="OD20593"/>
    <d v="2024-08-13T00:00:00"/>
    <x v="2"/>
    <x v="1"/>
    <x v="11"/>
    <x v="0"/>
    <n v="2"/>
    <n v="3530.93"/>
    <n v="0.25"/>
    <x v="0"/>
    <x v="2"/>
    <x v="1"/>
    <n v="5296.39"/>
    <x v="0"/>
  </r>
  <r>
    <s v="OD20594"/>
    <d v="2024-12-22T00:00:00"/>
    <x v="4"/>
    <x v="4"/>
    <x v="22"/>
    <x v="3"/>
    <n v="1"/>
    <n v="3659.39"/>
    <n v="0.15"/>
    <x v="2"/>
    <x v="3"/>
    <x v="1"/>
    <n v="3110.48"/>
    <x v="0"/>
  </r>
  <r>
    <s v="OD20595"/>
    <d v="2024-03-28T00:00:00"/>
    <x v="7"/>
    <x v="4"/>
    <x v="6"/>
    <x v="5"/>
    <n v="4"/>
    <n v="3635.2"/>
    <n v="0.15"/>
    <x v="3"/>
    <x v="3"/>
    <x v="0"/>
    <n v="12359.68"/>
    <x v="2"/>
  </r>
  <r>
    <s v="OD20596"/>
    <d v="2024-06-29T00:00:00"/>
    <x v="11"/>
    <x v="0"/>
    <x v="23"/>
    <x v="4"/>
    <n v="3"/>
    <n v="2667.75"/>
    <n v="0.2"/>
    <x v="3"/>
    <x v="2"/>
    <x v="1"/>
    <n v="6402.6"/>
    <x v="0"/>
  </r>
  <r>
    <s v="OD20597"/>
    <d v="2024-03-07T00:00:00"/>
    <x v="7"/>
    <x v="4"/>
    <x v="22"/>
    <x v="0"/>
    <n v="5"/>
    <n v="3597.88"/>
    <n v="0"/>
    <x v="1"/>
    <x v="1"/>
    <x v="0"/>
    <n v="17989.400000000001"/>
    <x v="2"/>
  </r>
  <r>
    <s v="OD20598"/>
    <d v="2024-11-25T00:00:00"/>
    <x v="0"/>
    <x v="0"/>
    <x v="23"/>
    <x v="0"/>
    <n v="4"/>
    <n v="2376.52"/>
    <n v="0.15"/>
    <x v="0"/>
    <x v="0"/>
    <x v="0"/>
    <n v="8080.17"/>
    <x v="0"/>
  </r>
  <r>
    <s v="OD20599"/>
    <d v="2024-07-31T00:00:00"/>
    <x v="6"/>
    <x v="1"/>
    <x v="18"/>
    <x v="5"/>
    <n v="5"/>
    <n v="6297.02"/>
    <n v="0.1"/>
    <x v="0"/>
    <x v="0"/>
    <x v="0"/>
    <n v="28336.59"/>
    <x v="1"/>
  </r>
  <r>
    <s v="OD20600"/>
    <d v="2024-03-18T00:00:00"/>
    <x v="7"/>
    <x v="4"/>
    <x v="22"/>
    <x v="1"/>
    <n v="4"/>
    <n v="1142.1199999999999"/>
    <n v="0.05"/>
    <x v="1"/>
    <x v="0"/>
    <x v="1"/>
    <n v="4340.0600000000004"/>
    <x v="0"/>
  </r>
  <r>
    <s v="OD20601"/>
    <d v="2024-07-22T00:00:00"/>
    <x v="6"/>
    <x v="4"/>
    <x v="6"/>
    <x v="5"/>
    <n v="3"/>
    <n v="5822.54"/>
    <n v="0.1"/>
    <x v="2"/>
    <x v="3"/>
    <x v="1"/>
    <n v="15720.86"/>
    <x v="2"/>
  </r>
  <r>
    <s v="OD20602"/>
    <d v="2024-11-11T00:00:00"/>
    <x v="0"/>
    <x v="1"/>
    <x v="11"/>
    <x v="4"/>
    <n v="5"/>
    <n v="7329.17"/>
    <n v="0.25"/>
    <x v="0"/>
    <x v="2"/>
    <x v="1"/>
    <n v="27484.39"/>
    <x v="1"/>
  </r>
  <r>
    <s v="OD20603"/>
    <d v="2024-02-05T00:00:00"/>
    <x v="10"/>
    <x v="3"/>
    <x v="21"/>
    <x v="3"/>
    <n v="2"/>
    <n v="3200.47"/>
    <n v="0.25"/>
    <x v="0"/>
    <x v="4"/>
    <x v="1"/>
    <n v="4800.7"/>
    <x v="0"/>
  </r>
  <r>
    <s v="OD20604"/>
    <d v="2024-06-09T00:00:00"/>
    <x v="11"/>
    <x v="4"/>
    <x v="24"/>
    <x v="5"/>
    <n v="4"/>
    <n v="2692.21"/>
    <n v="0.2"/>
    <x v="0"/>
    <x v="4"/>
    <x v="1"/>
    <n v="10768.64"/>
    <x v="2"/>
  </r>
  <r>
    <s v="OD20605"/>
    <d v="2024-08-04T00:00:00"/>
    <x v="2"/>
    <x v="3"/>
    <x v="14"/>
    <x v="5"/>
    <n v="2"/>
    <n v="1903.28"/>
    <n v="0"/>
    <x v="0"/>
    <x v="4"/>
    <x v="1"/>
    <n v="3806.56"/>
    <x v="0"/>
  </r>
  <r>
    <s v="OD20606"/>
    <d v="2024-10-03T00:00:00"/>
    <x v="5"/>
    <x v="3"/>
    <x v="14"/>
    <x v="4"/>
    <n v="5"/>
    <n v="919.25"/>
    <n v="0.25"/>
    <x v="0"/>
    <x v="2"/>
    <x v="0"/>
    <n v="3447.19"/>
    <x v="0"/>
  </r>
  <r>
    <s v="OD20607"/>
    <d v="2024-06-19T00:00:00"/>
    <x v="11"/>
    <x v="1"/>
    <x v="10"/>
    <x v="2"/>
    <n v="3"/>
    <n v="1126.47"/>
    <n v="0.25"/>
    <x v="0"/>
    <x v="4"/>
    <x v="1"/>
    <n v="2534.56"/>
    <x v="0"/>
  </r>
  <r>
    <s v="OD20608"/>
    <d v="2024-02-09T00:00:00"/>
    <x v="10"/>
    <x v="2"/>
    <x v="3"/>
    <x v="2"/>
    <n v="2"/>
    <n v="2208.0100000000002"/>
    <n v="0.1"/>
    <x v="0"/>
    <x v="4"/>
    <x v="0"/>
    <n v="3974.42"/>
    <x v="0"/>
  </r>
  <r>
    <s v="OD20609"/>
    <d v="2024-11-10T00:00:00"/>
    <x v="0"/>
    <x v="1"/>
    <x v="9"/>
    <x v="6"/>
    <n v="4"/>
    <n v="6202.45"/>
    <n v="0"/>
    <x v="0"/>
    <x v="2"/>
    <x v="1"/>
    <n v="24809.8"/>
    <x v="1"/>
  </r>
  <r>
    <s v="OD20610"/>
    <d v="2024-07-01T00:00:00"/>
    <x v="6"/>
    <x v="4"/>
    <x v="8"/>
    <x v="0"/>
    <n v="4"/>
    <n v="7716"/>
    <n v="0.1"/>
    <x v="0"/>
    <x v="4"/>
    <x v="1"/>
    <n v="27777.599999999999"/>
    <x v="1"/>
  </r>
  <r>
    <s v="OD20611"/>
    <d v="2024-01-27T00:00:00"/>
    <x v="1"/>
    <x v="2"/>
    <x v="19"/>
    <x v="4"/>
    <n v="5"/>
    <n v="6749.53"/>
    <n v="0.25"/>
    <x v="0"/>
    <x v="4"/>
    <x v="1"/>
    <n v="25310.74"/>
    <x v="1"/>
  </r>
  <r>
    <s v="OD20612"/>
    <d v="2024-02-28T00:00:00"/>
    <x v="10"/>
    <x v="4"/>
    <x v="6"/>
    <x v="1"/>
    <n v="3"/>
    <n v="1176.46"/>
    <n v="0"/>
    <x v="2"/>
    <x v="2"/>
    <x v="1"/>
    <n v="3529.38"/>
    <x v="0"/>
  </r>
  <r>
    <s v="OD20613"/>
    <d v="2024-05-06T00:00:00"/>
    <x v="9"/>
    <x v="1"/>
    <x v="10"/>
    <x v="7"/>
    <n v="3"/>
    <n v="708.9"/>
    <n v="0"/>
    <x v="0"/>
    <x v="2"/>
    <x v="1"/>
    <n v="2126.6999999999998"/>
    <x v="0"/>
  </r>
  <r>
    <s v="OD20614"/>
    <d v="2024-02-15T00:00:00"/>
    <x v="10"/>
    <x v="4"/>
    <x v="22"/>
    <x v="6"/>
    <n v="6"/>
    <n v="3761.74"/>
    <n v="0"/>
    <x v="0"/>
    <x v="4"/>
    <x v="1"/>
    <n v="22570.44"/>
    <x v="1"/>
  </r>
  <r>
    <s v="OD20615"/>
    <d v="2024-08-28T00:00:00"/>
    <x v="2"/>
    <x v="4"/>
    <x v="8"/>
    <x v="0"/>
    <n v="1"/>
    <n v="4212.76"/>
    <n v="0.1"/>
    <x v="0"/>
    <x v="2"/>
    <x v="1"/>
    <n v="4212.66"/>
    <x v="0"/>
  </r>
  <r>
    <s v="OD20616"/>
    <d v="2024-09-17T00:00:00"/>
    <x v="3"/>
    <x v="3"/>
    <x v="4"/>
    <x v="2"/>
    <n v="5"/>
    <n v="3884.11"/>
    <n v="0.1"/>
    <x v="0"/>
    <x v="4"/>
    <x v="0"/>
    <n v="17478.490000000002"/>
    <x v="2"/>
  </r>
  <r>
    <s v="OD20617"/>
    <d v="2024-09-23T00:00:00"/>
    <x v="3"/>
    <x v="3"/>
    <x v="13"/>
    <x v="3"/>
    <n v="1"/>
    <n v="4874.92"/>
    <n v="0"/>
    <x v="0"/>
    <x v="3"/>
    <x v="1"/>
    <n v="4874.92"/>
    <x v="0"/>
  </r>
  <r>
    <s v="OD20618"/>
    <d v="2024-12-11T00:00:00"/>
    <x v="4"/>
    <x v="4"/>
    <x v="5"/>
    <x v="7"/>
    <n v="2"/>
    <n v="1581.92"/>
    <n v="0.15"/>
    <x v="0"/>
    <x v="0"/>
    <x v="0"/>
    <n v="2689.26"/>
    <x v="0"/>
  </r>
  <r>
    <s v="OD20619"/>
    <d v="2024-04-03T00:00:00"/>
    <x v="8"/>
    <x v="2"/>
    <x v="20"/>
    <x v="7"/>
    <n v="3"/>
    <n v="7321.55"/>
    <n v="0.25"/>
    <x v="1"/>
    <x v="3"/>
    <x v="0"/>
    <n v="16473.490000000002"/>
    <x v="2"/>
  </r>
  <r>
    <s v="OD20620"/>
    <d v="2024-07-03T00:00:00"/>
    <x v="6"/>
    <x v="2"/>
    <x v="20"/>
    <x v="0"/>
    <n v="4"/>
    <n v="7907.78"/>
    <n v="0.15"/>
    <x v="1"/>
    <x v="1"/>
    <x v="1"/>
    <n v="26886.45"/>
    <x v="1"/>
  </r>
  <r>
    <s v="OD20621"/>
    <d v="2024-12-05T00:00:00"/>
    <x v="4"/>
    <x v="2"/>
    <x v="7"/>
    <x v="1"/>
    <n v="3"/>
    <n v="5721.94"/>
    <n v="0.25"/>
    <x v="2"/>
    <x v="1"/>
    <x v="1"/>
    <n v="12874.36"/>
    <x v="2"/>
  </r>
  <r>
    <s v="OD20622"/>
    <d v="2024-02-04T00:00:00"/>
    <x v="10"/>
    <x v="4"/>
    <x v="22"/>
    <x v="0"/>
    <n v="3"/>
    <n v="3906.04"/>
    <n v="0"/>
    <x v="0"/>
    <x v="1"/>
    <x v="1"/>
    <n v="11718.12"/>
    <x v="2"/>
  </r>
  <r>
    <s v="OD20623"/>
    <d v="2024-09-03T00:00:00"/>
    <x v="3"/>
    <x v="3"/>
    <x v="4"/>
    <x v="0"/>
    <n v="6"/>
    <n v="1782.8"/>
    <n v="0.05"/>
    <x v="0"/>
    <x v="4"/>
    <x v="1"/>
    <n v="10161.959999999999"/>
    <x v="2"/>
  </r>
  <r>
    <s v="OD20624"/>
    <d v="2024-10-09T00:00:00"/>
    <x v="5"/>
    <x v="4"/>
    <x v="24"/>
    <x v="0"/>
    <n v="6"/>
    <n v="324.97000000000003"/>
    <n v="0.15"/>
    <x v="3"/>
    <x v="1"/>
    <x v="1"/>
    <n v="1657.35"/>
    <x v="0"/>
  </r>
  <r>
    <s v="OD20625"/>
    <d v="2024-02-28T00:00:00"/>
    <x v="10"/>
    <x v="1"/>
    <x v="10"/>
    <x v="3"/>
    <n v="6"/>
    <n v="1392.79"/>
    <n v="0.1"/>
    <x v="0"/>
    <x v="2"/>
    <x v="0"/>
    <n v="7521.07"/>
    <x v="0"/>
  </r>
  <r>
    <s v="OD20626"/>
    <d v="2024-10-11T00:00:00"/>
    <x v="5"/>
    <x v="4"/>
    <x v="22"/>
    <x v="7"/>
    <n v="1"/>
    <n v="6145.1"/>
    <n v="0.1"/>
    <x v="3"/>
    <x v="3"/>
    <x v="1"/>
    <n v="5530.59"/>
    <x v="0"/>
  </r>
  <r>
    <s v="OD20627"/>
    <d v="2024-12-09T00:00:00"/>
    <x v="4"/>
    <x v="2"/>
    <x v="3"/>
    <x v="3"/>
    <n v="3"/>
    <n v="6750.86"/>
    <n v="0"/>
    <x v="0"/>
    <x v="4"/>
    <x v="1"/>
    <n v="20252.580000000002"/>
    <x v="1"/>
  </r>
  <r>
    <s v="OD20628"/>
    <d v="2024-05-28T00:00:00"/>
    <x v="9"/>
    <x v="3"/>
    <x v="14"/>
    <x v="7"/>
    <n v="1"/>
    <n v="4392.1000000000004"/>
    <n v="0"/>
    <x v="3"/>
    <x v="3"/>
    <x v="1"/>
    <n v="4392.1000000000004"/>
    <x v="0"/>
  </r>
  <r>
    <s v="OD20629"/>
    <d v="2024-08-05T00:00:00"/>
    <x v="2"/>
    <x v="3"/>
    <x v="12"/>
    <x v="0"/>
    <n v="3"/>
    <n v="4926.75"/>
    <n v="0.15"/>
    <x v="2"/>
    <x v="4"/>
    <x v="0"/>
    <n v="12563.21"/>
    <x v="2"/>
  </r>
  <r>
    <s v="OD20630"/>
    <d v="2024-07-05T00:00:00"/>
    <x v="6"/>
    <x v="4"/>
    <x v="6"/>
    <x v="6"/>
    <n v="5"/>
    <n v="3861.02"/>
    <n v="0"/>
    <x v="0"/>
    <x v="4"/>
    <x v="1"/>
    <n v="19305.099999999999"/>
    <x v="2"/>
  </r>
  <r>
    <s v="OD20631"/>
    <d v="2024-06-30T00:00:00"/>
    <x v="11"/>
    <x v="1"/>
    <x v="10"/>
    <x v="4"/>
    <n v="6"/>
    <n v="1624.89"/>
    <n v="0.25"/>
    <x v="1"/>
    <x v="0"/>
    <x v="1"/>
    <n v="7312.01"/>
    <x v="0"/>
  </r>
  <r>
    <s v="OD20632"/>
    <d v="2024-01-27T00:00:00"/>
    <x v="1"/>
    <x v="0"/>
    <x v="16"/>
    <x v="2"/>
    <n v="1"/>
    <n v="3784.25"/>
    <n v="0"/>
    <x v="2"/>
    <x v="4"/>
    <x v="1"/>
    <n v="3784.25"/>
    <x v="0"/>
  </r>
  <r>
    <s v="OD20633"/>
    <d v="2024-10-10T00:00:00"/>
    <x v="5"/>
    <x v="4"/>
    <x v="8"/>
    <x v="3"/>
    <n v="3"/>
    <n v="5282.79"/>
    <n v="0.25"/>
    <x v="0"/>
    <x v="3"/>
    <x v="0"/>
    <n v="11886.28"/>
    <x v="2"/>
  </r>
  <r>
    <s v="OD20634"/>
    <d v="2024-11-28T00:00:00"/>
    <x v="0"/>
    <x v="4"/>
    <x v="24"/>
    <x v="2"/>
    <n v="5"/>
    <n v="1296.58"/>
    <n v="0.1"/>
    <x v="2"/>
    <x v="0"/>
    <x v="1"/>
    <n v="5834.61"/>
    <x v="0"/>
  </r>
  <r>
    <s v="OD20635"/>
    <d v="2024-12-26T00:00:00"/>
    <x v="4"/>
    <x v="3"/>
    <x v="4"/>
    <x v="6"/>
    <n v="2"/>
    <n v="6281.43"/>
    <n v="0.15"/>
    <x v="0"/>
    <x v="2"/>
    <x v="1"/>
    <n v="10678.43"/>
    <x v="2"/>
  </r>
  <r>
    <s v="OD20636"/>
    <d v="2024-05-23T00:00:00"/>
    <x v="9"/>
    <x v="1"/>
    <x v="10"/>
    <x v="5"/>
    <n v="6"/>
    <n v="4011.14"/>
    <n v="0.15"/>
    <x v="0"/>
    <x v="0"/>
    <x v="1"/>
    <n v="20456.810000000001"/>
    <x v="1"/>
  </r>
  <r>
    <s v="OD20637"/>
    <d v="2024-09-03T00:00:00"/>
    <x v="3"/>
    <x v="3"/>
    <x v="21"/>
    <x v="5"/>
    <n v="2"/>
    <n v="2892.1"/>
    <n v="0.05"/>
    <x v="1"/>
    <x v="1"/>
    <x v="1"/>
    <n v="5494.99"/>
    <x v="0"/>
  </r>
  <r>
    <s v="OD20638"/>
    <d v="2024-02-12T00:00:00"/>
    <x v="10"/>
    <x v="1"/>
    <x v="9"/>
    <x v="1"/>
    <n v="1"/>
    <n v="5453.74"/>
    <n v="0.2"/>
    <x v="2"/>
    <x v="0"/>
    <x v="1"/>
    <n v="4362.99"/>
    <x v="0"/>
  </r>
  <r>
    <s v="OD20639"/>
    <d v="2024-07-23T00:00:00"/>
    <x v="6"/>
    <x v="3"/>
    <x v="14"/>
    <x v="5"/>
    <n v="1"/>
    <n v="6934.18"/>
    <n v="0.15"/>
    <x v="0"/>
    <x v="1"/>
    <x v="0"/>
    <n v="5894.05"/>
    <x v="0"/>
  </r>
  <r>
    <s v="OD20640"/>
    <d v="2024-08-21T00:00:00"/>
    <x v="2"/>
    <x v="2"/>
    <x v="2"/>
    <x v="7"/>
    <n v="2"/>
    <n v="6729.69"/>
    <n v="0"/>
    <x v="0"/>
    <x v="2"/>
    <x v="1"/>
    <n v="13459.38"/>
    <x v="2"/>
  </r>
  <r>
    <s v="OD20641"/>
    <d v="2024-12-07T00:00:00"/>
    <x v="4"/>
    <x v="1"/>
    <x v="18"/>
    <x v="4"/>
    <n v="5"/>
    <n v="4022.24"/>
    <n v="0.1"/>
    <x v="0"/>
    <x v="4"/>
    <x v="1"/>
    <n v="18100.080000000002"/>
    <x v="2"/>
  </r>
  <r>
    <s v="OD20642"/>
    <d v="2024-11-27T00:00:00"/>
    <x v="0"/>
    <x v="3"/>
    <x v="14"/>
    <x v="6"/>
    <n v="2"/>
    <n v="4506.05"/>
    <n v="0.15"/>
    <x v="0"/>
    <x v="1"/>
    <x v="1"/>
    <n v="7660.28"/>
    <x v="0"/>
  </r>
  <r>
    <s v="OD20643"/>
    <d v="2024-04-09T00:00:00"/>
    <x v="8"/>
    <x v="1"/>
    <x v="9"/>
    <x v="1"/>
    <n v="1"/>
    <n v="1972.45"/>
    <n v="0.05"/>
    <x v="0"/>
    <x v="4"/>
    <x v="1"/>
    <n v="1873.83"/>
    <x v="0"/>
  </r>
  <r>
    <s v="OD20644"/>
    <d v="2024-08-03T00:00:00"/>
    <x v="2"/>
    <x v="0"/>
    <x v="16"/>
    <x v="2"/>
    <n v="6"/>
    <n v="4117.29"/>
    <n v="0"/>
    <x v="3"/>
    <x v="1"/>
    <x v="1"/>
    <n v="24703.74"/>
    <x v="1"/>
  </r>
  <r>
    <s v="OD20645"/>
    <d v="2024-10-03T00:00:00"/>
    <x v="5"/>
    <x v="2"/>
    <x v="3"/>
    <x v="6"/>
    <n v="1"/>
    <n v="1203.5899999999999"/>
    <n v="0.05"/>
    <x v="2"/>
    <x v="4"/>
    <x v="0"/>
    <n v="1143.4100000000001"/>
    <x v="0"/>
  </r>
  <r>
    <s v="OD20646"/>
    <d v="2024-01-07T00:00:00"/>
    <x v="1"/>
    <x v="2"/>
    <x v="19"/>
    <x v="4"/>
    <n v="4"/>
    <n v="7670.61"/>
    <n v="0.25"/>
    <x v="0"/>
    <x v="3"/>
    <x v="1"/>
    <n v="23011.83"/>
    <x v="1"/>
  </r>
  <r>
    <s v="OD20647"/>
    <d v="2024-03-29T00:00:00"/>
    <x v="7"/>
    <x v="1"/>
    <x v="1"/>
    <x v="3"/>
    <n v="4"/>
    <n v="5565.23"/>
    <n v="0"/>
    <x v="1"/>
    <x v="2"/>
    <x v="1"/>
    <n v="22260.92"/>
    <x v="1"/>
  </r>
  <r>
    <s v="OD20648"/>
    <d v="2024-03-01T00:00:00"/>
    <x v="7"/>
    <x v="0"/>
    <x v="16"/>
    <x v="2"/>
    <n v="2"/>
    <n v="2804.88"/>
    <n v="0"/>
    <x v="1"/>
    <x v="2"/>
    <x v="1"/>
    <n v="5609.76"/>
    <x v="0"/>
  </r>
  <r>
    <s v="OD20649"/>
    <d v="2024-01-17T00:00:00"/>
    <x v="1"/>
    <x v="2"/>
    <x v="20"/>
    <x v="6"/>
    <n v="1"/>
    <n v="2039.73"/>
    <n v="0"/>
    <x v="2"/>
    <x v="1"/>
    <x v="1"/>
    <n v="2039.73"/>
    <x v="0"/>
  </r>
  <r>
    <s v="OD20650"/>
    <d v="2024-10-10T00:00:00"/>
    <x v="5"/>
    <x v="4"/>
    <x v="8"/>
    <x v="2"/>
    <n v="3"/>
    <n v="7596.33"/>
    <n v="0"/>
    <x v="2"/>
    <x v="0"/>
    <x v="0"/>
    <n v="22788.99"/>
    <x v="1"/>
  </r>
  <r>
    <s v="OD20651"/>
    <d v="2024-07-09T00:00:00"/>
    <x v="6"/>
    <x v="2"/>
    <x v="19"/>
    <x v="7"/>
    <n v="1"/>
    <n v="4940.93"/>
    <n v="0.05"/>
    <x v="0"/>
    <x v="1"/>
    <x v="1"/>
    <n v="4693.88"/>
    <x v="0"/>
  </r>
  <r>
    <s v="OD20652"/>
    <d v="2024-08-17T00:00:00"/>
    <x v="2"/>
    <x v="0"/>
    <x v="15"/>
    <x v="6"/>
    <n v="4"/>
    <n v="2521.9499999999998"/>
    <n v="0.25"/>
    <x v="3"/>
    <x v="0"/>
    <x v="1"/>
    <n v="7565.85"/>
    <x v="0"/>
  </r>
  <r>
    <s v="OD20653"/>
    <d v="2024-06-27T00:00:00"/>
    <x v="11"/>
    <x v="4"/>
    <x v="6"/>
    <x v="6"/>
    <n v="3"/>
    <n v="6328.22"/>
    <n v="0.1"/>
    <x v="0"/>
    <x v="3"/>
    <x v="1"/>
    <n v="17086.189999999999"/>
    <x v="2"/>
  </r>
  <r>
    <s v="OD20654"/>
    <d v="2024-03-30T00:00:00"/>
    <x v="7"/>
    <x v="3"/>
    <x v="21"/>
    <x v="7"/>
    <n v="6"/>
    <n v="2555.08"/>
    <n v="0.25"/>
    <x v="2"/>
    <x v="4"/>
    <x v="0"/>
    <n v="11497.86"/>
    <x v="2"/>
  </r>
  <r>
    <s v="OD20655"/>
    <d v="2024-10-08T00:00:00"/>
    <x v="5"/>
    <x v="2"/>
    <x v="19"/>
    <x v="1"/>
    <n v="6"/>
    <n v="7148.47"/>
    <n v="0.05"/>
    <x v="2"/>
    <x v="1"/>
    <x v="0"/>
    <n v="40746.28"/>
    <x v="1"/>
  </r>
  <r>
    <s v="OD20656"/>
    <d v="2024-05-24T00:00:00"/>
    <x v="9"/>
    <x v="2"/>
    <x v="19"/>
    <x v="2"/>
    <n v="4"/>
    <n v="6150.84"/>
    <n v="0"/>
    <x v="2"/>
    <x v="4"/>
    <x v="1"/>
    <n v="24603.360000000001"/>
    <x v="1"/>
  </r>
  <r>
    <s v="OD20657"/>
    <d v="2024-01-06T00:00:00"/>
    <x v="1"/>
    <x v="1"/>
    <x v="18"/>
    <x v="4"/>
    <n v="3"/>
    <n v="5874.36"/>
    <n v="0.15"/>
    <x v="2"/>
    <x v="3"/>
    <x v="1"/>
    <n v="14979.62"/>
    <x v="2"/>
  </r>
  <r>
    <s v="OD20658"/>
    <d v="2024-12-22T00:00:00"/>
    <x v="4"/>
    <x v="1"/>
    <x v="10"/>
    <x v="2"/>
    <n v="1"/>
    <n v="1819.12"/>
    <n v="0.15"/>
    <x v="0"/>
    <x v="4"/>
    <x v="0"/>
    <n v="1546.25"/>
    <x v="0"/>
  </r>
  <r>
    <s v="OD20659"/>
    <d v="2024-04-30T00:00:00"/>
    <x v="8"/>
    <x v="1"/>
    <x v="18"/>
    <x v="5"/>
    <n v="5"/>
    <n v="5379.35"/>
    <n v="0.05"/>
    <x v="0"/>
    <x v="3"/>
    <x v="1"/>
    <n v="25551.91"/>
    <x v="1"/>
  </r>
  <r>
    <s v="OD20660"/>
    <d v="2024-02-14T00:00:00"/>
    <x v="10"/>
    <x v="3"/>
    <x v="21"/>
    <x v="7"/>
    <n v="3"/>
    <n v="6800.2"/>
    <n v="0.15"/>
    <x v="1"/>
    <x v="4"/>
    <x v="1"/>
    <n v="17340.509999999998"/>
    <x v="2"/>
  </r>
  <r>
    <s v="OD20661"/>
    <d v="2024-01-09T00:00:00"/>
    <x v="1"/>
    <x v="1"/>
    <x v="11"/>
    <x v="1"/>
    <n v="2"/>
    <n v="5109.8"/>
    <n v="0.1"/>
    <x v="1"/>
    <x v="3"/>
    <x v="1"/>
    <n v="9197.64"/>
    <x v="0"/>
  </r>
  <r>
    <s v="OD20662"/>
    <d v="2024-09-06T00:00:00"/>
    <x v="3"/>
    <x v="0"/>
    <x v="15"/>
    <x v="1"/>
    <n v="2"/>
    <n v="1417.76"/>
    <n v="0.25"/>
    <x v="2"/>
    <x v="4"/>
    <x v="0"/>
    <n v="2126.64"/>
    <x v="0"/>
  </r>
  <r>
    <s v="OD20663"/>
    <d v="2024-08-28T00:00:00"/>
    <x v="2"/>
    <x v="3"/>
    <x v="4"/>
    <x v="3"/>
    <n v="6"/>
    <n v="6127.65"/>
    <n v="0.25"/>
    <x v="0"/>
    <x v="3"/>
    <x v="1"/>
    <n v="27574.42"/>
    <x v="1"/>
  </r>
  <r>
    <s v="OD20664"/>
    <d v="2024-05-07T00:00:00"/>
    <x v="9"/>
    <x v="3"/>
    <x v="14"/>
    <x v="1"/>
    <n v="1"/>
    <n v="6444.59"/>
    <n v="0.1"/>
    <x v="3"/>
    <x v="2"/>
    <x v="1"/>
    <n v="5800.13"/>
    <x v="0"/>
  </r>
  <r>
    <s v="OD20665"/>
    <d v="2024-09-22T00:00:00"/>
    <x v="3"/>
    <x v="2"/>
    <x v="19"/>
    <x v="3"/>
    <n v="5"/>
    <n v="4376.6000000000004"/>
    <n v="0.1"/>
    <x v="3"/>
    <x v="4"/>
    <x v="1"/>
    <n v="19694.7"/>
    <x v="2"/>
  </r>
  <r>
    <s v="OD20666"/>
    <d v="2024-05-31T00:00:00"/>
    <x v="9"/>
    <x v="2"/>
    <x v="3"/>
    <x v="3"/>
    <n v="4"/>
    <n v="1764.73"/>
    <n v="0.25"/>
    <x v="0"/>
    <x v="4"/>
    <x v="1"/>
    <n v="5294.19"/>
    <x v="0"/>
  </r>
  <r>
    <s v="OD20667"/>
    <d v="2024-07-09T00:00:00"/>
    <x v="6"/>
    <x v="1"/>
    <x v="10"/>
    <x v="0"/>
    <n v="5"/>
    <n v="3685.31"/>
    <n v="0.15"/>
    <x v="1"/>
    <x v="3"/>
    <x v="1"/>
    <n v="15662.57"/>
    <x v="2"/>
  </r>
  <r>
    <s v="OD20668"/>
    <d v="2024-09-26T00:00:00"/>
    <x v="3"/>
    <x v="2"/>
    <x v="2"/>
    <x v="7"/>
    <n v="1"/>
    <n v="5851.44"/>
    <n v="0"/>
    <x v="0"/>
    <x v="2"/>
    <x v="1"/>
    <n v="5851.44"/>
    <x v="0"/>
  </r>
  <r>
    <s v="OD20669"/>
    <d v="2024-02-17T00:00:00"/>
    <x v="10"/>
    <x v="2"/>
    <x v="2"/>
    <x v="4"/>
    <n v="2"/>
    <n v="7337.74"/>
    <n v="0"/>
    <x v="0"/>
    <x v="1"/>
    <x v="1"/>
    <n v="14675.48"/>
    <x v="2"/>
  </r>
  <r>
    <s v="OD20670"/>
    <d v="2024-11-11T00:00:00"/>
    <x v="0"/>
    <x v="0"/>
    <x v="15"/>
    <x v="2"/>
    <n v="5"/>
    <n v="3189.09"/>
    <n v="0.1"/>
    <x v="0"/>
    <x v="3"/>
    <x v="1"/>
    <n v="14350.91"/>
    <x v="2"/>
  </r>
  <r>
    <s v="OD20671"/>
    <d v="2024-05-27T00:00:00"/>
    <x v="9"/>
    <x v="2"/>
    <x v="20"/>
    <x v="5"/>
    <n v="5"/>
    <n v="3047.19"/>
    <n v="0.15"/>
    <x v="1"/>
    <x v="0"/>
    <x v="1"/>
    <n v="12950.56"/>
    <x v="2"/>
  </r>
  <r>
    <s v="OD20672"/>
    <d v="2024-05-24T00:00:00"/>
    <x v="9"/>
    <x v="4"/>
    <x v="24"/>
    <x v="3"/>
    <n v="3"/>
    <n v="2307.48"/>
    <n v="0.05"/>
    <x v="1"/>
    <x v="2"/>
    <x v="0"/>
    <n v="6576.32"/>
    <x v="0"/>
  </r>
  <r>
    <s v="OD20673"/>
    <d v="2024-06-04T00:00:00"/>
    <x v="11"/>
    <x v="2"/>
    <x v="7"/>
    <x v="1"/>
    <n v="4"/>
    <n v="672.14"/>
    <n v="0.1"/>
    <x v="0"/>
    <x v="1"/>
    <x v="0"/>
    <n v="2419.6999999999998"/>
    <x v="0"/>
  </r>
  <r>
    <s v="OD20674"/>
    <d v="2024-03-11T00:00:00"/>
    <x v="7"/>
    <x v="2"/>
    <x v="7"/>
    <x v="5"/>
    <n v="1"/>
    <n v="5636.74"/>
    <n v="0"/>
    <x v="2"/>
    <x v="0"/>
    <x v="0"/>
    <n v="5636.74"/>
    <x v="0"/>
  </r>
  <r>
    <s v="OD20675"/>
    <d v="2024-07-05T00:00:00"/>
    <x v="6"/>
    <x v="4"/>
    <x v="6"/>
    <x v="5"/>
    <n v="2"/>
    <n v="1143.6300000000001"/>
    <n v="0"/>
    <x v="2"/>
    <x v="0"/>
    <x v="1"/>
    <n v="2287.2600000000002"/>
    <x v="0"/>
  </r>
  <r>
    <s v="OD20676"/>
    <d v="2024-07-16T00:00:00"/>
    <x v="6"/>
    <x v="4"/>
    <x v="5"/>
    <x v="6"/>
    <n v="6"/>
    <n v="5273.58"/>
    <n v="0.05"/>
    <x v="0"/>
    <x v="4"/>
    <x v="1"/>
    <n v="30059.41"/>
    <x v="1"/>
  </r>
  <r>
    <s v="OD20677"/>
    <d v="2024-05-22T00:00:00"/>
    <x v="9"/>
    <x v="2"/>
    <x v="20"/>
    <x v="1"/>
    <n v="2"/>
    <n v="4202.76"/>
    <n v="0.1"/>
    <x v="3"/>
    <x v="1"/>
    <x v="0"/>
    <n v="7564.97"/>
    <x v="0"/>
  </r>
  <r>
    <s v="OD20678"/>
    <d v="2024-01-04T00:00:00"/>
    <x v="1"/>
    <x v="4"/>
    <x v="8"/>
    <x v="3"/>
    <n v="5"/>
    <n v="216.55"/>
    <n v="0"/>
    <x v="1"/>
    <x v="1"/>
    <x v="1"/>
    <n v="1082.75"/>
    <x v="0"/>
  </r>
  <r>
    <s v="OD20679"/>
    <d v="2024-06-08T00:00:00"/>
    <x v="11"/>
    <x v="0"/>
    <x v="16"/>
    <x v="6"/>
    <n v="3"/>
    <n v="4351.16"/>
    <n v="0.15"/>
    <x v="0"/>
    <x v="3"/>
    <x v="1"/>
    <n v="11095.46"/>
    <x v="2"/>
  </r>
  <r>
    <s v="OD20680"/>
    <d v="2024-08-12T00:00:00"/>
    <x v="2"/>
    <x v="1"/>
    <x v="18"/>
    <x v="0"/>
    <n v="3"/>
    <n v="2993.34"/>
    <n v="0.2"/>
    <x v="3"/>
    <x v="3"/>
    <x v="0"/>
    <n v="7184.02"/>
    <x v="0"/>
  </r>
  <r>
    <s v="OD20681"/>
    <d v="2024-03-31T00:00:00"/>
    <x v="7"/>
    <x v="1"/>
    <x v="10"/>
    <x v="7"/>
    <n v="6"/>
    <n v="3887.97"/>
    <n v="0.05"/>
    <x v="1"/>
    <x v="2"/>
    <x v="1"/>
    <n v="22161.43"/>
    <x v="1"/>
  </r>
  <r>
    <s v="OD20682"/>
    <d v="2024-05-15T00:00:00"/>
    <x v="9"/>
    <x v="3"/>
    <x v="12"/>
    <x v="1"/>
    <n v="2"/>
    <n v="5616.65"/>
    <n v="0.05"/>
    <x v="0"/>
    <x v="2"/>
    <x v="1"/>
    <n v="10671.63"/>
    <x v="2"/>
  </r>
  <r>
    <s v="OD20683"/>
    <d v="2024-04-26T00:00:00"/>
    <x v="8"/>
    <x v="1"/>
    <x v="9"/>
    <x v="5"/>
    <n v="6"/>
    <n v="6327.5"/>
    <n v="0.05"/>
    <x v="0"/>
    <x v="1"/>
    <x v="1"/>
    <n v="36066.75"/>
    <x v="1"/>
  </r>
  <r>
    <s v="OD20684"/>
    <d v="2024-05-26T00:00:00"/>
    <x v="9"/>
    <x v="1"/>
    <x v="1"/>
    <x v="5"/>
    <n v="2"/>
    <n v="7771.28"/>
    <n v="0.05"/>
    <x v="1"/>
    <x v="3"/>
    <x v="1"/>
    <n v="14765.43"/>
    <x v="2"/>
  </r>
  <r>
    <s v="OD20685"/>
    <d v="2024-02-20T00:00:00"/>
    <x v="10"/>
    <x v="0"/>
    <x v="17"/>
    <x v="2"/>
    <n v="5"/>
    <n v="5827.23"/>
    <n v="0.1"/>
    <x v="3"/>
    <x v="1"/>
    <x v="1"/>
    <n v="26222.53"/>
    <x v="1"/>
  </r>
  <r>
    <s v="OD20686"/>
    <d v="2024-05-11T00:00:00"/>
    <x v="9"/>
    <x v="3"/>
    <x v="4"/>
    <x v="3"/>
    <n v="2"/>
    <n v="6152.18"/>
    <n v="0"/>
    <x v="0"/>
    <x v="1"/>
    <x v="1"/>
    <n v="12304.36"/>
    <x v="2"/>
  </r>
  <r>
    <s v="OD20687"/>
    <d v="2024-11-28T00:00:00"/>
    <x v="0"/>
    <x v="2"/>
    <x v="2"/>
    <x v="0"/>
    <n v="6"/>
    <n v="4198.07"/>
    <n v="0.25"/>
    <x v="0"/>
    <x v="3"/>
    <x v="1"/>
    <n v="18891.310000000001"/>
    <x v="2"/>
  </r>
  <r>
    <s v="OD20688"/>
    <d v="2024-04-24T00:00:00"/>
    <x v="8"/>
    <x v="0"/>
    <x v="0"/>
    <x v="3"/>
    <n v="5"/>
    <n v="1135.1300000000001"/>
    <n v="0.1"/>
    <x v="1"/>
    <x v="4"/>
    <x v="1"/>
    <n v="5108.09"/>
    <x v="0"/>
  </r>
  <r>
    <s v="OD20689"/>
    <d v="2024-01-16T00:00:00"/>
    <x v="1"/>
    <x v="3"/>
    <x v="21"/>
    <x v="5"/>
    <n v="5"/>
    <n v="1584.69"/>
    <n v="0.1"/>
    <x v="1"/>
    <x v="1"/>
    <x v="1"/>
    <n v="7131.11"/>
    <x v="0"/>
  </r>
  <r>
    <s v="OD20690"/>
    <d v="2024-12-27T00:00:00"/>
    <x v="4"/>
    <x v="1"/>
    <x v="1"/>
    <x v="1"/>
    <n v="6"/>
    <n v="6196.36"/>
    <n v="0.1"/>
    <x v="3"/>
    <x v="2"/>
    <x v="0"/>
    <n v="33460.339999999997"/>
    <x v="1"/>
  </r>
  <r>
    <s v="OD20691"/>
    <d v="2024-05-24T00:00:00"/>
    <x v="9"/>
    <x v="3"/>
    <x v="21"/>
    <x v="5"/>
    <n v="4"/>
    <n v="5825.06"/>
    <n v="0"/>
    <x v="0"/>
    <x v="4"/>
    <x v="1"/>
    <n v="23300.240000000002"/>
    <x v="1"/>
  </r>
  <r>
    <s v="OD20692"/>
    <d v="2024-03-31T00:00:00"/>
    <x v="7"/>
    <x v="2"/>
    <x v="2"/>
    <x v="4"/>
    <n v="2"/>
    <n v="7005.48"/>
    <n v="0.05"/>
    <x v="1"/>
    <x v="3"/>
    <x v="0"/>
    <n v="13310.41"/>
    <x v="2"/>
  </r>
  <r>
    <s v="OD20693"/>
    <d v="2024-02-29T00:00:00"/>
    <x v="10"/>
    <x v="4"/>
    <x v="6"/>
    <x v="2"/>
    <n v="2"/>
    <n v="7476.44"/>
    <n v="0.05"/>
    <x v="0"/>
    <x v="4"/>
    <x v="0"/>
    <n v="14205.24"/>
    <x v="2"/>
  </r>
  <r>
    <s v="OD20694"/>
    <d v="2024-01-21T00:00:00"/>
    <x v="1"/>
    <x v="1"/>
    <x v="11"/>
    <x v="0"/>
    <n v="1"/>
    <n v="4696.42"/>
    <n v="0.15"/>
    <x v="0"/>
    <x v="3"/>
    <x v="1"/>
    <n v="3991.96"/>
    <x v="0"/>
  </r>
  <r>
    <s v="OD20695"/>
    <d v="2024-05-09T00:00:00"/>
    <x v="9"/>
    <x v="3"/>
    <x v="12"/>
    <x v="7"/>
    <n v="6"/>
    <n v="343.63"/>
    <n v="0.25"/>
    <x v="0"/>
    <x v="0"/>
    <x v="0"/>
    <n v="1546.33"/>
    <x v="0"/>
  </r>
  <r>
    <s v="OD20696"/>
    <d v="2024-07-23T00:00:00"/>
    <x v="6"/>
    <x v="4"/>
    <x v="24"/>
    <x v="5"/>
    <n v="5"/>
    <n v="4667.88"/>
    <n v="0.1"/>
    <x v="3"/>
    <x v="4"/>
    <x v="1"/>
    <n v="21005.46"/>
    <x v="1"/>
  </r>
  <r>
    <s v="OD20697"/>
    <d v="2024-03-30T00:00:00"/>
    <x v="7"/>
    <x v="3"/>
    <x v="4"/>
    <x v="6"/>
    <n v="3"/>
    <n v="2914.01"/>
    <n v="0"/>
    <x v="0"/>
    <x v="4"/>
    <x v="0"/>
    <n v="8742.0300000000007"/>
    <x v="0"/>
  </r>
  <r>
    <s v="OD20698"/>
    <d v="2024-01-18T00:00:00"/>
    <x v="1"/>
    <x v="2"/>
    <x v="19"/>
    <x v="2"/>
    <n v="2"/>
    <n v="6279.65"/>
    <n v="0.15"/>
    <x v="0"/>
    <x v="0"/>
    <x v="1"/>
    <n v="10675.4"/>
    <x v="2"/>
  </r>
  <r>
    <s v="OD20699"/>
    <d v="2024-05-09T00:00:00"/>
    <x v="9"/>
    <x v="2"/>
    <x v="7"/>
    <x v="6"/>
    <n v="2"/>
    <n v="6584.93"/>
    <n v="0.25"/>
    <x v="3"/>
    <x v="1"/>
    <x v="1"/>
    <n v="9877.4"/>
    <x v="0"/>
  </r>
  <r>
    <s v="OD20700"/>
    <d v="2024-10-15T00:00:00"/>
    <x v="5"/>
    <x v="0"/>
    <x v="15"/>
    <x v="3"/>
    <n v="6"/>
    <n v="7199.09"/>
    <n v="0.25"/>
    <x v="3"/>
    <x v="3"/>
    <x v="1"/>
    <n v="32395.9"/>
    <x v="1"/>
  </r>
  <r>
    <s v="OD20701"/>
    <d v="2024-10-04T00:00:00"/>
    <x v="5"/>
    <x v="0"/>
    <x v="23"/>
    <x v="0"/>
    <n v="2"/>
    <n v="7861.73"/>
    <n v="0.15"/>
    <x v="3"/>
    <x v="1"/>
    <x v="1"/>
    <n v="13364.94"/>
    <x v="2"/>
  </r>
  <r>
    <s v="OD20702"/>
    <d v="2024-12-21T00:00:00"/>
    <x v="4"/>
    <x v="0"/>
    <x v="16"/>
    <x v="7"/>
    <n v="1"/>
    <n v="4458.45"/>
    <n v="0.05"/>
    <x v="2"/>
    <x v="0"/>
    <x v="1"/>
    <n v="4235.53"/>
    <x v="0"/>
  </r>
  <r>
    <s v="OD20703"/>
    <d v="2024-11-06T00:00:00"/>
    <x v="0"/>
    <x v="4"/>
    <x v="22"/>
    <x v="2"/>
    <n v="3"/>
    <n v="1942.27"/>
    <n v="0.1"/>
    <x v="0"/>
    <x v="4"/>
    <x v="0"/>
    <n v="5244.13"/>
    <x v="0"/>
  </r>
  <r>
    <s v="OD20704"/>
    <d v="2024-01-06T00:00:00"/>
    <x v="1"/>
    <x v="4"/>
    <x v="5"/>
    <x v="7"/>
    <n v="6"/>
    <n v="2911.32"/>
    <n v="0.25"/>
    <x v="0"/>
    <x v="1"/>
    <x v="1"/>
    <n v="13100.94"/>
    <x v="2"/>
  </r>
  <r>
    <s v="OD20705"/>
    <d v="2024-03-01T00:00:00"/>
    <x v="7"/>
    <x v="4"/>
    <x v="22"/>
    <x v="3"/>
    <n v="4"/>
    <n v="1914.53"/>
    <n v="0"/>
    <x v="1"/>
    <x v="0"/>
    <x v="1"/>
    <n v="7658.12"/>
    <x v="0"/>
  </r>
  <r>
    <s v="OD20706"/>
    <d v="2024-09-22T00:00:00"/>
    <x v="3"/>
    <x v="3"/>
    <x v="14"/>
    <x v="7"/>
    <n v="5"/>
    <n v="1467.25"/>
    <n v="0"/>
    <x v="3"/>
    <x v="2"/>
    <x v="1"/>
    <n v="7336.25"/>
    <x v="0"/>
  </r>
  <r>
    <s v="OD20707"/>
    <d v="2024-01-10T00:00:00"/>
    <x v="1"/>
    <x v="0"/>
    <x v="15"/>
    <x v="7"/>
    <n v="2"/>
    <n v="840.11"/>
    <n v="0.15"/>
    <x v="0"/>
    <x v="3"/>
    <x v="1"/>
    <n v="1428.19"/>
    <x v="0"/>
  </r>
  <r>
    <s v="OD20708"/>
    <d v="2024-03-03T00:00:00"/>
    <x v="7"/>
    <x v="4"/>
    <x v="24"/>
    <x v="4"/>
    <n v="4"/>
    <n v="2058.29"/>
    <n v="0.05"/>
    <x v="0"/>
    <x v="0"/>
    <x v="0"/>
    <n v="7821.5"/>
    <x v="0"/>
  </r>
  <r>
    <s v="OD20709"/>
    <d v="2024-12-22T00:00:00"/>
    <x v="4"/>
    <x v="1"/>
    <x v="18"/>
    <x v="6"/>
    <n v="3"/>
    <n v="7823.48"/>
    <n v="0.1"/>
    <x v="1"/>
    <x v="3"/>
    <x v="1"/>
    <n v="21123.4"/>
    <x v="1"/>
  </r>
  <r>
    <s v="OD20710"/>
    <d v="2024-02-24T00:00:00"/>
    <x v="10"/>
    <x v="3"/>
    <x v="14"/>
    <x v="3"/>
    <n v="2"/>
    <n v="5000.22"/>
    <n v="0.05"/>
    <x v="3"/>
    <x v="4"/>
    <x v="1"/>
    <n v="9500.42"/>
    <x v="0"/>
  </r>
  <r>
    <s v="OD20711"/>
    <d v="2024-05-20T00:00:00"/>
    <x v="9"/>
    <x v="0"/>
    <x v="23"/>
    <x v="5"/>
    <n v="3"/>
    <n v="650.02"/>
    <n v="0"/>
    <x v="1"/>
    <x v="2"/>
    <x v="1"/>
    <n v="1950.06"/>
    <x v="0"/>
  </r>
  <r>
    <s v="OD20712"/>
    <d v="2024-08-19T00:00:00"/>
    <x v="2"/>
    <x v="1"/>
    <x v="1"/>
    <x v="1"/>
    <n v="4"/>
    <n v="1128.9000000000001"/>
    <n v="0"/>
    <x v="0"/>
    <x v="4"/>
    <x v="1"/>
    <n v="4515.6000000000004"/>
    <x v="0"/>
  </r>
  <r>
    <s v="OD20713"/>
    <d v="2024-04-27T00:00:00"/>
    <x v="8"/>
    <x v="0"/>
    <x v="16"/>
    <x v="0"/>
    <n v="3"/>
    <n v="2788.04"/>
    <n v="0"/>
    <x v="3"/>
    <x v="2"/>
    <x v="1"/>
    <n v="8364.119999999999"/>
    <x v="0"/>
  </r>
  <r>
    <s v="OD20714"/>
    <d v="2024-12-28T00:00:00"/>
    <x v="4"/>
    <x v="0"/>
    <x v="16"/>
    <x v="5"/>
    <n v="3"/>
    <n v="5245.11"/>
    <n v="0.05"/>
    <x v="3"/>
    <x v="4"/>
    <x v="1"/>
    <n v="14948.56"/>
    <x v="2"/>
  </r>
  <r>
    <s v="OD20715"/>
    <d v="2024-02-22T00:00:00"/>
    <x v="10"/>
    <x v="2"/>
    <x v="20"/>
    <x v="1"/>
    <n v="1"/>
    <n v="6108.48"/>
    <n v="0"/>
    <x v="3"/>
    <x v="1"/>
    <x v="1"/>
    <n v="6108.48"/>
    <x v="0"/>
  </r>
  <r>
    <s v="OD20716"/>
    <d v="2024-09-26T00:00:00"/>
    <x v="3"/>
    <x v="2"/>
    <x v="2"/>
    <x v="6"/>
    <n v="4"/>
    <n v="178.17"/>
    <n v="0"/>
    <x v="3"/>
    <x v="4"/>
    <x v="1"/>
    <n v="712.68"/>
    <x v="0"/>
  </r>
  <r>
    <s v="OD20717"/>
    <d v="2024-12-15T00:00:00"/>
    <x v="4"/>
    <x v="2"/>
    <x v="2"/>
    <x v="4"/>
    <n v="4"/>
    <n v="1063.95"/>
    <n v="0"/>
    <x v="0"/>
    <x v="0"/>
    <x v="0"/>
    <n v="4255.8"/>
    <x v="0"/>
  </r>
  <r>
    <s v="OD20718"/>
    <d v="2024-06-13T00:00:00"/>
    <x v="11"/>
    <x v="2"/>
    <x v="2"/>
    <x v="2"/>
    <n v="5"/>
    <n v="5860.81"/>
    <n v="0"/>
    <x v="1"/>
    <x v="2"/>
    <x v="0"/>
    <n v="29304.05"/>
    <x v="1"/>
  </r>
  <r>
    <s v="OD20719"/>
    <d v="2024-07-14T00:00:00"/>
    <x v="6"/>
    <x v="0"/>
    <x v="0"/>
    <x v="3"/>
    <n v="3"/>
    <n v="6054.98"/>
    <n v="0.2"/>
    <x v="3"/>
    <x v="3"/>
    <x v="1"/>
    <n v="14531.95"/>
    <x v="2"/>
  </r>
  <r>
    <s v="OD20720"/>
    <d v="2024-07-16T00:00:00"/>
    <x v="6"/>
    <x v="4"/>
    <x v="6"/>
    <x v="1"/>
    <n v="6"/>
    <n v="4636.37"/>
    <n v="0"/>
    <x v="0"/>
    <x v="1"/>
    <x v="1"/>
    <n v="27818.22"/>
    <x v="1"/>
  </r>
  <r>
    <s v="OD20721"/>
    <d v="2024-09-05T00:00:00"/>
    <x v="3"/>
    <x v="1"/>
    <x v="11"/>
    <x v="6"/>
    <n v="2"/>
    <n v="2275.0700000000002"/>
    <n v="0.15"/>
    <x v="1"/>
    <x v="0"/>
    <x v="1"/>
    <n v="3867.62"/>
    <x v="0"/>
  </r>
  <r>
    <s v="OD20722"/>
    <d v="2024-06-29T00:00:00"/>
    <x v="11"/>
    <x v="2"/>
    <x v="7"/>
    <x v="0"/>
    <n v="6"/>
    <n v="6822.74"/>
    <n v="0.1"/>
    <x v="3"/>
    <x v="0"/>
    <x v="1"/>
    <n v="36842.800000000003"/>
    <x v="1"/>
  </r>
  <r>
    <s v="OD20723"/>
    <d v="2024-08-24T00:00:00"/>
    <x v="2"/>
    <x v="0"/>
    <x v="17"/>
    <x v="6"/>
    <n v="6"/>
    <n v="1825.5"/>
    <n v="0.15"/>
    <x v="0"/>
    <x v="3"/>
    <x v="0"/>
    <n v="9310.0499999999993"/>
    <x v="0"/>
  </r>
  <r>
    <s v="OD20724"/>
    <d v="2024-07-21T00:00:00"/>
    <x v="6"/>
    <x v="0"/>
    <x v="15"/>
    <x v="4"/>
    <n v="2"/>
    <n v="3019.38"/>
    <n v="0.2"/>
    <x v="0"/>
    <x v="3"/>
    <x v="0"/>
    <n v="4831.01"/>
    <x v="0"/>
  </r>
  <r>
    <s v="OD20725"/>
    <d v="2024-06-07T00:00:00"/>
    <x v="11"/>
    <x v="3"/>
    <x v="14"/>
    <x v="0"/>
    <n v="4"/>
    <n v="1200.6199999999999"/>
    <n v="0.2"/>
    <x v="0"/>
    <x v="0"/>
    <x v="1"/>
    <n v="3841.98"/>
    <x v="0"/>
  </r>
  <r>
    <s v="OD20726"/>
    <d v="2024-01-11T00:00:00"/>
    <x v="1"/>
    <x v="4"/>
    <x v="8"/>
    <x v="4"/>
    <n v="3"/>
    <n v="1250.02"/>
    <n v="0.05"/>
    <x v="0"/>
    <x v="4"/>
    <x v="1"/>
    <n v="3562.56"/>
    <x v="0"/>
  </r>
  <r>
    <s v="OD20727"/>
    <d v="2024-06-13T00:00:00"/>
    <x v="11"/>
    <x v="3"/>
    <x v="14"/>
    <x v="1"/>
    <n v="3"/>
    <n v="172.47"/>
    <n v="0"/>
    <x v="1"/>
    <x v="0"/>
    <x v="1"/>
    <n v="517.41"/>
    <x v="0"/>
  </r>
  <r>
    <s v="OD20728"/>
    <d v="2024-10-30T00:00:00"/>
    <x v="5"/>
    <x v="1"/>
    <x v="11"/>
    <x v="0"/>
    <n v="4"/>
    <n v="3843.36"/>
    <n v="0.05"/>
    <x v="3"/>
    <x v="2"/>
    <x v="1"/>
    <n v="14604.77"/>
    <x v="2"/>
  </r>
  <r>
    <s v="OD20729"/>
    <d v="2024-04-02T00:00:00"/>
    <x v="8"/>
    <x v="1"/>
    <x v="9"/>
    <x v="0"/>
    <n v="1"/>
    <n v="2838.01"/>
    <n v="0.1"/>
    <x v="0"/>
    <x v="2"/>
    <x v="0"/>
    <n v="2554.21"/>
    <x v="0"/>
  </r>
  <r>
    <s v="OD20730"/>
    <d v="2024-09-06T00:00:00"/>
    <x v="3"/>
    <x v="0"/>
    <x v="17"/>
    <x v="7"/>
    <n v="1"/>
    <n v="1370.65"/>
    <n v="0.25"/>
    <x v="2"/>
    <x v="0"/>
    <x v="1"/>
    <n v="1027.99"/>
    <x v="0"/>
  </r>
  <r>
    <s v="OD20731"/>
    <d v="2024-12-14T00:00:00"/>
    <x v="4"/>
    <x v="2"/>
    <x v="2"/>
    <x v="0"/>
    <n v="6"/>
    <n v="6631.43"/>
    <n v="0"/>
    <x v="1"/>
    <x v="0"/>
    <x v="0"/>
    <n v="39788.58"/>
    <x v="1"/>
  </r>
  <r>
    <s v="OD20732"/>
    <d v="2024-10-19T00:00:00"/>
    <x v="5"/>
    <x v="2"/>
    <x v="7"/>
    <x v="5"/>
    <n v="2"/>
    <n v="7981.55"/>
    <n v="0.2"/>
    <x v="1"/>
    <x v="4"/>
    <x v="1"/>
    <n v="12770.48"/>
    <x v="2"/>
  </r>
  <r>
    <s v="OD20733"/>
    <d v="2024-08-24T00:00:00"/>
    <x v="2"/>
    <x v="1"/>
    <x v="9"/>
    <x v="3"/>
    <n v="5"/>
    <n v="7801.76"/>
    <n v="0.25"/>
    <x v="3"/>
    <x v="1"/>
    <x v="1"/>
    <n v="29256.6"/>
    <x v="1"/>
  </r>
  <r>
    <s v="OD20734"/>
    <d v="2024-06-02T00:00:00"/>
    <x v="11"/>
    <x v="3"/>
    <x v="13"/>
    <x v="7"/>
    <n v="5"/>
    <n v="5471.5"/>
    <n v="0.15"/>
    <x v="3"/>
    <x v="2"/>
    <x v="0"/>
    <n v="23253.88"/>
    <x v="1"/>
  </r>
  <r>
    <s v="OD20735"/>
    <d v="2024-12-05T00:00:00"/>
    <x v="4"/>
    <x v="2"/>
    <x v="3"/>
    <x v="6"/>
    <n v="4"/>
    <n v="3977.23"/>
    <n v="0.2"/>
    <x v="3"/>
    <x v="2"/>
    <x v="1"/>
    <n v="12727.14"/>
    <x v="2"/>
  </r>
  <r>
    <s v="OD20736"/>
    <d v="2024-04-14T00:00:00"/>
    <x v="8"/>
    <x v="0"/>
    <x v="0"/>
    <x v="0"/>
    <n v="6"/>
    <n v="625.92999999999995"/>
    <n v="0"/>
    <x v="2"/>
    <x v="0"/>
    <x v="1"/>
    <n v="3755.58"/>
    <x v="0"/>
  </r>
  <r>
    <s v="OD20737"/>
    <d v="2024-09-28T00:00:00"/>
    <x v="3"/>
    <x v="1"/>
    <x v="10"/>
    <x v="5"/>
    <n v="6"/>
    <n v="4080.02"/>
    <n v="0.05"/>
    <x v="0"/>
    <x v="3"/>
    <x v="1"/>
    <n v="23256.11"/>
    <x v="1"/>
  </r>
  <r>
    <s v="OD20738"/>
    <d v="2024-04-07T00:00:00"/>
    <x v="8"/>
    <x v="0"/>
    <x v="15"/>
    <x v="7"/>
    <n v="6"/>
    <n v="5202.72"/>
    <n v="0.1"/>
    <x v="0"/>
    <x v="4"/>
    <x v="1"/>
    <n v="28094.69"/>
    <x v="1"/>
  </r>
  <r>
    <s v="OD20739"/>
    <d v="2024-11-11T00:00:00"/>
    <x v="0"/>
    <x v="3"/>
    <x v="4"/>
    <x v="0"/>
    <n v="5"/>
    <n v="3347.49"/>
    <n v="0.1"/>
    <x v="3"/>
    <x v="4"/>
    <x v="1"/>
    <n v="15063.7"/>
    <x v="2"/>
  </r>
  <r>
    <s v="OD20740"/>
    <d v="2024-04-09T00:00:00"/>
    <x v="8"/>
    <x v="4"/>
    <x v="24"/>
    <x v="1"/>
    <n v="3"/>
    <n v="987.39"/>
    <n v="0"/>
    <x v="0"/>
    <x v="2"/>
    <x v="0"/>
    <n v="2962.17"/>
    <x v="0"/>
  </r>
  <r>
    <s v="OD20741"/>
    <d v="2024-06-30T00:00:00"/>
    <x v="11"/>
    <x v="0"/>
    <x v="17"/>
    <x v="7"/>
    <n v="6"/>
    <n v="4349.5"/>
    <n v="0.1"/>
    <x v="0"/>
    <x v="2"/>
    <x v="1"/>
    <n v="23487.3"/>
    <x v="1"/>
  </r>
  <r>
    <s v="OD20742"/>
    <d v="2024-12-19T00:00:00"/>
    <x v="4"/>
    <x v="3"/>
    <x v="21"/>
    <x v="4"/>
    <n v="1"/>
    <n v="1409.39"/>
    <n v="0.2"/>
    <x v="1"/>
    <x v="0"/>
    <x v="1"/>
    <n v="1127.51"/>
    <x v="0"/>
  </r>
  <r>
    <s v="OD20743"/>
    <d v="2024-07-22T00:00:00"/>
    <x v="6"/>
    <x v="2"/>
    <x v="20"/>
    <x v="3"/>
    <n v="3"/>
    <n v="7150.74"/>
    <n v="0.15"/>
    <x v="0"/>
    <x v="1"/>
    <x v="1"/>
    <n v="18234.39"/>
    <x v="2"/>
  </r>
  <r>
    <s v="OD20744"/>
    <d v="2024-10-23T00:00:00"/>
    <x v="5"/>
    <x v="1"/>
    <x v="10"/>
    <x v="5"/>
    <n v="5"/>
    <n v="6220.22"/>
    <n v="0"/>
    <x v="2"/>
    <x v="1"/>
    <x v="1"/>
    <n v="31101.1"/>
    <x v="1"/>
  </r>
  <r>
    <s v="OD20745"/>
    <d v="2024-06-17T00:00:00"/>
    <x v="11"/>
    <x v="1"/>
    <x v="9"/>
    <x v="1"/>
    <n v="3"/>
    <n v="3242.23"/>
    <n v="0.25"/>
    <x v="1"/>
    <x v="0"/>
    <x v="1"/>
    <n v="7295.02"/>
    <x v="0"/>
  </r>
  <r>
    <s v="OD20746"/>
    <d v="2024-10-23T00:00:00"/>
    <x v="5"/>
    <x v="0"/>
    <x v="15"/>
    <x v="3"/>
    <n v="1"/>
    <n v="1631.08"/>
    <n v="0.2"/>
    <x v="1"/>
    <x v="3"/>
    <x v="1"/>
    <n v="1304.8599999999999"/>
    <x v="0"/>
  </r>
  <r>
    <s v="OD20747"/>
    <d v="2024-10-10T00:00:00"/>
    <x v="5"/>
    <x v="4"/>
    <x v="22"/>
    <x v="5"/>
    <n v="1"/>
    <n v="1072.6300000000001"/>
    <n v="0"/>
    <x v="1"/>
    <x v="3"/>
    <x v="1"/>
    <n v="1072.6300000000001"/>
    <x v="0"/>
  </r>
  <r>
    <s v="OD20748"/>
    <d v="2024-08-18T00:00:00"/>
    <x v="2"/>
    <x v="1"/>
    <x v="9"/>
    <x v="5"/>
    <n v="6"/>
    <n v="947.77"/>
    <n v="0.1"/>
    <x v="3"/>
    <x v="1"/>
    <x v="1"/>
    <n v="5686.5199999999995"/>
    <x v="0"/>
  </r>
  <r>
    <s v="OD20749"/>
    <d v="2024-10-11T00:00:00"/>
    <x v="5"/>
    <x v="1"/>
    <x v="1"/>
    <x v="5"/>
    <n v="5"/>
    <n v="5961.89"/>
    <n v="0.1"/>
    <x v="2"/>
    <x v="0"/>
    <x v="1"/>
    <n v="26828.51"/>
    <x v="1"/>
  </r>
  <r>
    <s v="OD20750"/>
    <d v="2024-03-30T00:00:00"/>
    <x v="7"/>
    <x v="3"/>
    <x v="14"/>
    <x v="4"/>
    <n v="5"/>
    <n v="2627.39"/>
    <n v="0.15"/>
    <x v="3"/>
    <x v="3"/>
    <x v="0"/>
    <n v="11166.41"/>
    <x v="2"/>
  </r>
  <r>
    <s v="OD20751"/>
    <d v="2024-08-25T00:00:00"/>
    <x v="2"/>
    <x v="1"/>
    <x v="18"/>
    <x v="4"/>
    <n v="2"/>
    <n v="1055.25"/>
    <n v="0.15"/>
    <x v="2"/>
    <x v="0"/>
    <x v="1"/>
    <n v="1793.92"/>
    <x v="0"/>
  </r>
  <r>
    <s v="OD20752"/>
    <d v="2024-06-18T00:00:00"/>
    <x v="11"/>
    <x v="2"/>
    <x v="20"/>
    <x v="5"/>
    <n v="4"/>
    <n v="410.3"/>
    <n v="0.25"/>
    <x v="0"/>
    <x v="1"/>
    <x v="1"/>
    <n v="1230.9000000000001"/>
    <x v="0"/>
  </r>
  <r>
    <s v="OD20753"/>
    <d v="2024-12-02T00:00:00"/>
    <x v="4"/>
    <x v="0"/>
    <x v="0"/>
    <x v="7"/>
    <n v="2"/>
    <n v="5574.14"/>
    <n v="0.2"/>
    <x v="2"/>
    <x v="0"/>
    <x v="1"/>
    <n v="8918.6200000000008"/>
    <x v="0"/>
  </r>
  <r>
    <s v="OD20754"/>
    <d v="2024-02-08T00:00:00"/>
    <x v="10"/>
    <x v="2"/>
    <x v="3"/>
    <x v="1"/>
    <n v="6"/>
    <n v="6336.35"/>
    <n v="0"/>
    <x v="0"/>
    <x v="2"/>
    <x v="0"/>
    <n v="38018.1"/>
    <x v="1"/>
  </r>
  <r>
    <s v="OD20755"/>
    <d v="2024-08-17T00:00:00"/>
    <x v="2"/>
    <x v="4"/>
    <x v="8"/>
    <x v="5"/>
    <n v="6"/>
    <n v="7295.04"/>
    <n v="0.2"/>
    <x v="0"/>
    <x v="3"/>
    <x v="1"/>
    <n v="35016.19"/>
    <x v="1"/>
  </r>
  <r>
    <s v="OD20756"/>
    <d v="2024-08-07T00:00:00"/>
    <x v="2"/>
    <x v="4"/>
    <x v="5"/>
    <x v="6"/>
    <n v="1"/>
    <n v="1583.41"/>
    <n v="0.2"/>
    <x v="2"/>
    <x v="2"/>
    <x v="0"/>
    <n v="1266.73"/>
    <x v="0"/>
  </r>
  <r>
    <s v="OD20757"/>
    <d v="2024-09-27T00:00:00"/>
    <x v="3"/>
    <x v="1"/>
    <x v="10"/>
    <x v="4"/>
    <n v="6"/>
    <n v="5381.42"/>
    <n v="0"/>
    <x v="0"/>
    <x v="2"/>
    <x v="1"/>
    <n v="32288.52"/>
    <x v="1"/>
  </r>
  <r>
    <s v="OD20758"/>
    <d v="2024-01-28T00:00:00"/>
    <x v="1"/>
    <x v="4"/>
    <x v="8"/>
    <x v="3"/>
    <n v="3"/>
    <n v="6417.96"/>
    <n v="0.25"/>
    <x v="2"/>
    <x v="3"/>
    <x v="1"/>
    <n v="14440.41"/>
    <x v="2"/>
  </r>
  <r>
    <s v="OD20759"/>
    <d v="2024-03-18T00:00:00"/>
    <x v="7"/>
    <x v="3"/>
    <x v="13"/>
    <x v="5"/>
    <n v="6"/>
    <n v="7765.69"/>
    <n v="0.05"/>
    <x v="3"/>
    <x v="4"/>
    <x v="0"/>
    <n v="44264.43"/>
    <x v="1"/>
  </r>
  <r>
    <s v="OD20760"/>
    <d v="2024-02-29T00:00:00"/>
    <x v="10"/>
    <x v="2"/>
    <x v="3"/>
    <x v="2"/>
    <n v="6"/>
    <n v="5322.74"/>
    <n v="0.1"/>
    <x v="3"/>
    <x v="2"/>
    <x v="1"/>
    <n v="28742.799999999999"/>
    <x v="1"/>
  </r>
  <r>
    <s v="OD20761"/>
    <d v="2024-09-16T00:00:00"/>
    <x v="3"/>
    <x v="2"/>
    <x v="19"/>
    <x v="5"/>
    <n v="3"/>
    <n v="3361.01"/>
    <n v="0.05"/>
    <x v="0"/>
    <x v="4"/>
    <x v="0"/>
    <n v="9578.8799999999992"/>
    <x v="0"/>
  </r>
  <r>
    <s v="OD20762"/>
    <d v="2024-08-11T00:00:00"/>
    <x v="2"/>
    <x v="0"/>
    <x v="17"/>
    <x v="6"/>
    <n v="6"/>
    <n v="991.28"/>
    <n v="0.1"/>
    <x v="0"/>
    <x v="4"/>
    <x v="1"/>
    <n v="5352.91"/>
    <x v="0"/>
  </r>
  <r>
    <s v="OD20763"/>
    <d v="2024-06-20T00:00:00"/>
    <x v="11"/>
    <x v="4"/>
    <x v="8"/>
    <x v="6"/>
    <n v="4"/>
    <n v="7051.6"/>
    <n v="0"/>
    <x v="2"/>
    <x v="3"/>
    <x v="1"/>
    <n v="28206.400000000001"/>
    <x v="1"/>
  </r>
  <r>
    <s v="OD20764"/>
    <d v="2024-09-09T00:00:00"/>
    <x v="3"/>
    <x v="0"/>
    <x v="16"/>
    <x v="3"/>
    <n v="1"/>
    <n v="3469.33"/>
    <n v="0.2"/>
    <x v="0"/>
    <x v="4"/>
    <x v="1"/>
    <n v="2775.46"/>
    <x v="0"/>
  </r>
  <r>
    <s v="OD20765"/>
    <d v="2024-10-29T00:00:00"/>
    <x v="5"/>
    <x v="0"/>
    <x v="15"/>
    <x v="2"/>
    <n v="2"/>
    <n v="5654.71"/>
    <n v="0.25"/>
    <x v="0"/>
    <x v="2"/>
    <x v="1"/>
    <n v="8482.07"/>
    <x v="0"/>
  </r>
  <r>
    <s v="OD20766"/>
    <d v="2024-03-01T00:00:00"/>
    <x v="7"/>
    <x v="1"/>
    <x v="9"/>
    <x v="1"/>
    <n v="1"/>
    <n v="2784.11"/>
    <n v="0.15"/>
    <x v="3"/>
    <x v="0"/>
    <x v="1"/>
    <n v="2366.4899999999998"/>
    <x v="0"/>
  </r>
  <r>
    <s v="OD20767"/>
    <d v="2024-11-11T00:00:00"/>
    <x v="0"/>
    <x v="1"/>
    <x v="11"/>
    <x v="7"/>
    <n v="6"/>
    <n v="348.78"/>
    <n v="0.25"/>
    <x v="0"/>
    <x v="2"/>
    <x v="1"/>
    <n v="1569.51"/>
    <x v="0"/>
  </r>
  <r>
    <s v="OD20768"/>
    <d v="2024-03-18T00:00:00"/>
    <x v="7"/>
    <x v="2"/>
    <x v="19"/>
    <x v="0"/>
    <n v="6"/>
    <n v="5501.13"/>
    <n v="0.05"/>
    <x v="1"/>
    <x v="2"/>
    <x v="1"/>
    <n v="31356.44"/>
    <x v="1"/>
  </r>
  <r>
    <s v="OD20769"/>
    <d v="2024-05-12T00:00:00"/>
    <x v="9"/>
    <x v="2"/>
    <x v="3"/>
    <x v="7"/>
    <n v="4"/>
    <n v="2738.44"/>
    <n v="0.1"/>
    <x v="3"/>
    <x v="1"/>
    <x v="1"/>
    <n v="9858.3799999999992"/>
    <x v="0"/>
  </r>
  <r>
    <s v="OD20770"/>
    <d v="2024-10-18T00:00:00"/>
    <x v="5"/>
    <x v="0"/>
    <x v="17"/>
    <x v="2"/>
    <n v="5"/>
    <n v="3963.19"/>
    <n v="0"/>
    <x v="3"/>
    <x v="1"/>
    <x v="0"/>
    <n v="19815.95"/>
    <x v="2"/>
  </r>
  <r>
    <s v="OD20771"/>
    <d v="2024-06-25T00:00:00"/>
    <x v="11"/>
    <x v="2"/>
    <x v="2"/>
    <x v="0"/>
    <n v="6"/>
    <n v="3952.36"/>
    <n v="0"/>
    <x v="2"/>
    <x v="2"/>
    <x v="1"/>
    <n v="23714.16"/>
    <x v="1"/>
  </r>
  <r>
    <s v="OD20772"/>
    <d v="2024-02-20T00:00:00"/>
    <x v="10"/>
    <x v="2"/>
    <x v="20"/>
    <x v="1"/>
    <n v="3"/>
    <n v="7145.66"/>
    <n v="0"/>
    <x v="2"/>
    <x v="0"/>
    <x v="1"/>
    <n v="21436.98"/>
    <x v="1"/>
  </r>
  <r>
    <s v="OD20773"/>
    <d v="2024-01-10T00:00:00"/>
    <x v="1"/>
    <x v="3"/>
    <x v="4"/>
    <x v="5"/>
    <n v="3"/>
    <n v="7538.77"/>
    <n v="0.1"/>
    <x v="0"/>
    <x v="0"/>
    <x v="1"/>
    <n v="22616.210000000003"/>
    <x v="1"/>
  </r>
  <r>
    <s v="OD20774"/>
    <d v="2024-01-06T00:00:00"/>
    <x v="1"/>
    <x v="2"/>
    <x v="3"/>
    <x v="4"/>
    <n v="5"/>
    <n v="2405.61"/>
    <n v="0.1"/>
    <x v="3"/>
    <x v="2"/>
    <x v="1"/>
    <n v="10825.25"/>
    <x v="2"/>
  </r>
  <r>
    <s v="OD20775"/>
    <d v="2024-05-14T00:00:00"/>
    <x v="9"/>
    <x v="2"/>
    <x v="2"/>
    <x v="0"/>
    <n v="6"/>
    <n v="5706.52"/>
    <n v="0.05"/>
    <x v="0"/>
    <x v="0"/>
    <x v="0"/>
    <n v="32527.16"/>
    <x v="1"/>
  </r>
  <r>
    <s v="OD20776"/>
    <d v="2024-12-26T00:00:00"/>
    <x v="4"/>
    <x v="0"/>
    <x v="17"/>
    <x v="4"/>
    <n v="2"/>
    <n v="664.28"/>
    <n v="0.1"/>
    <x v="0"/>
    <x v="1"/>
    <x v="1"/>
    <n v="1195.7"/>
    <x v="0"/>
  </r>
  <r>
    <s v="OD20777"/>
    <d v="2024-02-07T00:00:00"/>
    <x v="10"/>
    <x v="3"/>
    <x v="21"/>
    <x v="6"/>
    <n v="5"/>
    <n v="5311.18"/>
    <n v="0.15"/>
    <x v="3"/>
    <x v="2"/>
    <x v="1"/>
    <n v="22572.51"/>
    <x v="1"/>
  </r>
  <r>
    <s v="OD20778"/>
    <d v="2024-09-16T00:00:00"/>
    <x v="3"/>
    <x v="4"/>
    <x v="22"/>
    <x v="3"/>
    <n v="4"/>
    <n v="1009.69"/>
    <n v="0.15"/>
    <x v="3"/>
    <x v="0"/>
    <x v="1"/>
    <n v="3432.95"/>
    <x v="0"/>
  </r>
  <r>
    <s v="OD20779"/>
    <d v="2024-06-24T00:00:00"/>
    <x v="11"/>
    <x v="4"/>
    <x v="5"/>
    <x v="5"/>
    <n v="2"/>
    <n v="2162.62"/>
    <n v="0.25"/>
    <x v="3"/>
    <x v="0"/>
    <x v="1"/>
    <n v="4324.99"/>
    <x v="0"/>
  </r>
  <r>
    <s v="OD20780"/>
    <d v="2024-06-05T00:00:00"/>
    <x v="11"/>
    <x v="0"/>
    <x v="15"/>
    <x v="2"/>
    <n v="4"/>
    <n v="4605.28"/>
    <n v="0.25"/>
    <x v="0"/>
    <x v="4"/>
    <x v="1"/>
    <n v="13815.84"/>
    <x v="2"/>
  </r>
  <r>
    <s v="OD20781"/>
    <d v="2024-03-28T00:00:00"/>
    <x v="7"/>
    <x v="4"/>
    <x v="22"/>
    <x v="3"/>
    <n v="4"/>
    <n v="5387.3"/>
    <n v="0"/>
    <x v="0"/>
    <x v="2"/>
    <x v="1"/>
    <n v="21549.200000000001"/>
    <x v="1"/>
  </r>
  <r>
    <s v="OD20782"/>
    <d v="2024-10-20T00:00:00"/>
    <x v="5"/>
    <x v="0"/>
    <x v="17"/>
    <x v="5"/>
    <n v="1"/>
    <n v="5050.34"/>
    <n v="0.1"/>
    <x v="2"/>
    <x v="0"/>
    <x v="1"/>
    <n v="4545.3100000000004"/>
    <x v="0"/>
  </r>
  <r>
    <s v="OD20783"/>
    <d v="2024-04-22T00:00:00"/>
    <x v="8"/>
    <x v="3"/>
    <x v="12"/>
    <x v="7"/>
    <n v="3"/>
    <n v="3559.11"/>
    <n v="0.2"/>
    <x v="1"/>
    <x v="3"/>
    <x v="1"/>
    <n v="8541.86"/>
    <x v="0"/>
  </r>
  <r>
    <s v="OD20784"/>
    <d v="2024-01-22T00:00:00"/>
    <x v="1"/>
    <x v="4"/>
    <x v="22"/>
    <x v="1"/>
    <n v="5"/>
    <n v="2857.35"/>
    <n v="0.2"/>
    <x v="3"/>
    <x v="0"/>
    <x v="1"/>
    <n v="11429.4"/>
    <x v="2"/>
  </r>
  <r>
    <s v="OD20785"/>
    <d v="2024-09-24T00:00:00"/>
    <x v="3"/>
    <x v="1"/>
    <x v="18"/>
    <x v="7"/>
    <n v="6"/>
    <n v="3032.56"/>
    <n v="0.05"/>
    <x v="3"/>
    <x v="1"/>
    <x v="1"/>
    <n v="17285.59"/>
    <x v="2"/>
  </r>
  <r>
    <s v="OD20786"/>
    <d v="2024-12-21T00:00:00"/>
    <x v="4"/>
    <x v="0"/>
    <x v="0"/>
    <x v="5"/>
    <n v="2"/>
    <n v="6620.5"/>
    <n v="0.2"/>
    <x v="2"/>
    <x v="3"/>
    <x v="1"/>
    <n v="10592.8"/>
    <x v="2"/>
  </r>
  <r>
    <s v="OD20787"/>
    <d v="2024-07-07T00:00:00"/>
    <x v="6"/>
    <x v="4"/>
    <x v="24"/>
    <x v="7"/>
    <n v="5"/>
    <n v="6213.19"/>
    <n v="0"/>
    <x v="1"/>
    <x v="0"/>
    <x v="1"/>
    <n v="31065.95"/>
    <x v="1"/>
  </r>
  <r>
    <s v="OD20788"/>
    <d v="2024-06-26T00:00:00"/>
    <x v="11"/>
    <x v="3"/>
    <x v="21"/>
    <x v="6"/>
    <n v="5"/>
    <n v="5112.7299999999996"/>
    <n v="0.2"/>
    <x v="0"/>
    <x v="2"/>
    <x v="1"/>
    <n v="20450.919999999998"/>
    <x v="1"/>
  </r>
  <r>
    <s v="OD20789"/>
    <d v="2024-01-02T00:00:00"/>
    <x v="1"/>
    <x v="2"/>
    <x v="19"/>
    <x v="0"/>
    <n v="1"/>
    <n v="1152.2"/>
    <n v="0.25"/>
    <x v="3"/>
    <x v="3"/>
    <x v="1"/>
    <n v="864.15"/>
    <x v="0"/>
  </r>
  <r>
    <s v="OD20790"/>
    <d v="2024-12-25T00:00:00"/>
    <x v="4"/>
    <x v="3"/>
    <x v="13"/>
    <x v="7"/>
    <n v="4"/>
    <n v="614.21"/>
    <n v="0.1"/>
    <x v="1"/>
    <x v="2"/>
    <x v="0"/>
    <n v="2211.16"/>
    <x v="0"/>
  </r>
  <r>
    <s v="OD20791"/>
    <d v="2024-04-19T00:00:00"/>
    <x v="8"/>
    <x v="4"/>
    <x v="22"/>
    <x v="6"/>
    <n v="1"/>
    <n v="5450.75"/>
    <n v="0.1"/>
    <x v="0"/>
    <x v="4"/>
    <x v="0"/>
    <n v="4905.68"/>
    <x v="0"/>
  </r>
  <r>
    <s v="OD20792"/>
    <d v="2024-02-24T00:00:00"/>
    <x v="10"/>
    <x v="4"/>
    <x v="8"/>
    <x v="0"/>
    <n v="1"/>
    <n v="4338.92"/>
    <n v="0.15"/>
    <x v="0"/>
    <x v="0"/>
    <x v="0"/>
    <n v="3688.08"/>
    <x v="0"/>
  </r>
  <r>
    <s v="OD20793"/>
    <d v="2024-07-30T00:00:00"/>
    <x v="6"/>
    <x v="3"/>
    <x v="12"/>
    <x v="0"/>
    <n v="4"/>
    <n v="1178.99"/>
    <n v="0.25"/>
    <x v="1"/>
    <x v="1"/>
    <x v="1"/>
    <n v="3536.97"/>
    <x v="0"/>
  </r>
  <r>
    <s v="OD20794"/>
    <d v="2024-11-18T00:00:00"/>
    <x v="0"/>
    <x v="2"/>
    <x v="3"/>
    <x v="1"/>
    <n v="1"/>
    <n v="4106.38"/>
    <n v="0"/>
    <x v="1"/>
    <x v="1"/>
    <x v="0"/>
    <n v="4106.38"/>
    <x v="0"/>
  </r>
  <r>
    <s v="OD20795"/>
    <d v="2024-02-29T00:00:00"/>
    <x v="10"/>
    <x v="1"/>
    <x v="18"/>
    <x v="3"/>
    <n v="4"/>
    <n v="992.49"/>
    <n v="0.05"/>
    <x v="1"/>
    <x v="3"/>
    <x v="1"/>
    <n v="3771.46"/>
    <x v="0"/>
  </r>
  <r>
    <s v="OD20796"/>
    <d v="2024-02-26T00:00:00"/>
    <x v="10"/>
    <x v="1"/>
    <x v="11"/>
    <x v="3"/>
    <n v="2"/>
    <n v="5645.49"/>
    <n v="0"/>
    <x v="0"/>
    <x v="2"/>
    <x v="1"/>
    <n v="11290.98"/>
    <x v="2"/>
  </r>
  <r>
    <s v="OD20797"/>
    <d v="2024-05-28T00:00:00"/>
    <x v="9"/>
    <x v="3"/>
    <x v="13"/>
    <x v="6"/>
    <n v="5"/>
    <n v="631.25"/>
    <n v="0"/>
    <x v="3"/>
    <x v="2"/>
    <x v="1"/>
    <n v="3156.25"/>
    <x v="0"/>
  </r>
  <r>
    <s v="OD20798"/>
    <d v="2024-03-29T00:00:00"/>
    <x v="7"/>
    <x v="2"/>
    <x v="2"/>
    <x v="3"/>
    <n v="4"/>
    <n v="6393.52"/>
    <n v="0.1"/>
    <x v="0"/>
    <x v="1"/>
    <x v="1"/>
    <n v="23016.67"/>
    <x v="1"/>
  </r>
  <r>
    <s v="OD20799"/>
    <d v="2024-07-02T00:00:00"/>
    <x v="6"/>
    <x v="0"/>
    <x v="15"/>
    <x v="0"/>
    <n v="4"/>
    <n v="7776.42"/>
    <n v="0.15"/>
    <x v="1"/>
    <x v="0"/>
    <x v="1"/>
    <n v="31105.53"/>
    <x v="1"/>
  </r>
  <r>
    <s v="OD20800"/>
    <d v="2024-05-02T00:00:00"/>
    <x v="9"/>
    <x v="0"/>
    <x v="15"/>
    <x v="0"/>
    <n v="1"/>
    <n v="7419.13"/>
    <n v="0.2"/>
    <x v="0"/>
    <x v="3"/>
    <x v="1"/>
    <n v="5935.3"/>
    <x v="0"/>
  </r>
  <r>
    <s v="OD20801"/>
    <d v="2024-09-15T00:00:00"/>
    <x v="3"/>
    <x v="0"/>
    <x v="0"/>
    <x v="4"/>
    <n v="4"/>
    <n v="4212.91"/>
    <n v="0.05"/>
    <x v="0"/>
    <x v="3"/>
    <x v="1"/>
    <n v="16009.06"/>
    <x v="2"/>
  </r>
  <r>
    <s v="OD20802"/>
    <d v="2024-06-19T00:00:00"/>
    <x v="11"/>
    <x v="1"/>
    <x v="10"/>
    <x v="0"/>
    <n v="6"/>
    <n v="4520.5"/>
    <n v="0.2"/>
    <x v="0"/>
    <x v="0"/>
    <x v="1"/>
    <n v="27122.799999999999"/>
    <x v="1"/>
  </r>
  <r>
    <s v="OD20803"/>
    <d v="2024-10-10T00:00:00"/>
    <x v="5"/>
    <x v="1"/>
    <x v="1"/>
    <x v="5"/>
    <n v="2"/>
    <n v="4599.8999999999996"/>
    <n v="0"/>
    <x v="1"/>
    <x v="0"/>
    <x v="1"/>
    <n v="9199.7999999999993"/>
    <x v="0"/>
  </r>
  <r>
    <s v="OD20804"/>
    <d v="2024-07-05T00:00:00"/>
    <x v="6"/>
    <x v="0"/>
    <x v="15"/>
    <x v="0"/>
    <n v="2"/>
    <n v="3775.07"/>
    <n v="0"/>
    <x v="1"/>
    <x v="1"/>
    <x v="1"/>
    <n v="7550.14"/>
    <x v="0"/>
  </r>
  <r>
    <s v="OD20805"/>
    <d v="2024-10-16T00:00:00"/>
    <x v="5"/>
    <x v="4"/>
    <x v="8"/>
    <x v="5"/>
    <n v="6"/>
    <n v="7444.83"/>
    <n v="0.1"/>
    <x v="0"/>
    <x v="3"/>
    <x v="0"/>
    <n v="40202.080000000002"/>
    <x v="1"/>
  </r>
  <r>
    <s v="OD20806"/>
    <d v="2024-06-07T00:00:00"/>
    <x v="11"/>
    <x v="1"/>
    <x v="9"/>
    <x v="6"/>
    <n v="3"/>
    <n v="6612.94"/>
    <n v="0.05"/>
    <x v="1"/>
    <x v="2"/>
    <x v="1"/>
    <n v="18846.88"/>
    <x v="2"/>
  </r>
  <r>
    <s v="OD20807"/>
    <d v="2024-12-18T00:00:00"/>
    <x v="4"/>
    <x v="3"/>
    <x v="21"/>
    <x v="7"/>
    <n v="5"/>
    <n v="1595.91"/>
    <n v="0.2"/>
    <x v="2"/>
    <x v="3"/>
    <x v="1"/>
    <n v="6383.64"/>
    <x v="0"/>
  </r>
  <r>
    <s v="OD20808"/>
    <d v="2024-04-28T00:00:00"/>
    <x v="8"/>
    <x v="2"/>
    <x v="19"/>
    <x v="6"/>
    <n v="6"/>
    <n v="1803.39"/>
    <n v="0.2"/>
    <x v="0"/>
    <x v="2"/>
    <x v="1"/>
    <n v="8656.27"/>
    <x v="0"/>
  </r>
  <r>
    <s v="OD20809"/>
    <d v="2024-09-08T00:00:00"/>
    <x v="3"/>
    <x v="3"/>
    <x v="12"/>
    <x v="7"/>
    <n v="2"/>
    <n v="4320.84"/>
    <n v="0.05"/>
    <x v="3"/>
    <x v="0"/>
    <x v="1"/>
    <n v="8209.6"/>
    <x v="0"/>
  </r>
  <r>
    <s v="OD20810"/>
    <d v="2024-07-23T00:00:00"/>
    <x v="6"/>
    <x v="4"/>
    <x v="5"/>
    <x v="1"/>
    <n v="4"/>
    <n v="3938.96"/>
    <n v="0.05"/>
    <x v="0"/>
    <x v="0"/>
    <x v="1"/>
    <n v="14968.05"/>
    <x v="2"/>
  </r>
  <r>
    <s v="OD20811"/>
    <d v="2024-03-12T00:00:00"/>
    <x v="7"/>
    <x v="4"/>
    <x v="8"/>
    <x v="6"/>
    <n v="1"/>
    <n v="3382.04"/>
    <n v="0.1"/>
    <x v="3"/>
    <x v="4"/>
    <x v="1"/>
    <n v="3043.84"/>
    <x v="0"/>
  </r>
  <r>
    <s v="OD20812"/>
    <d v="2024-10-01T00:00:00"/>
    <x v="5"/>
    <x v="1"/>
    <x v="1"/>
    <x v="6"/>
    <n v="5"/>
    <n v="3684.84"/>
    <n v="0"/>
    <x v="0"/>
    <x v="4"/>
    <x v="1"/>
    <n v="18424.2"/>
    <x v="2"/>
  </r>
  <r>
    <s v="OD20813"/>
    <d v="2024-11-01T00:00:00"/>
    <x v="0"/>
    <x v="4"/>
    <x v="6"/>
    <x v="6"/>
    <n v="2"/>
    <n v="2663.28"/>
    <n v="0.25"/>
    <x v="0"/>
    <x v="3"/>
    <x v="1"/>
    <n v="3994.92"/>
    <x v="0"/>
  </r>
  <r>
    <s v="OD20814"/>
    <d v="2024-03-19T00:00:00"/>
    <x v="7"/>
    <x v="4"/>
    <x v="24"/>
    <x v="2"/>
    <n v="3"/>
    <n v="1949.3"/>
    <n v="0.05"/>
    <x v="2"/>
    <x v="4"/>
    <x v="1"/>
    <n v="5555.5"/>
    <x v="0"/>
  </r>
  <r>
    <s v="OD20815"/>
    <d v="2024-02-18T00:00:00"/>
    <x v="10"/>
    <x v="4"/>
    <x v="5"/>
    <x v="7"/>
    <n v="2"/>
    <n v="2210.29"/>
    <n v="0.1"/>
    <x v="0"/>
    <x v="0"/>
    <x v="1"/>
    <n v="3978.52"/>
    <x v="0"/>
  </r>
  <r>
    <s v="OD20816"/>
    <d v="2024-09-13T00:00:00"/>
    <x v="3"/>
    <x v="0"/>
    <x v="23"/>
    <x v="6"/>
    <n v="1"/>
    <n v="4192.7700000000004"/>
    <n v="0"/>
    <x v="0"/>
    <x v="0"/>
    <x v="1"/>
    <n v="4192.7700000000004"/>
    <x v="0"/>
  </r>
  <r>
    <s v="OD20817"/>
    <d v="2024-10-19T00:00:00"/>
    <x v="5"/>
    <x v="4"/>
    <x v="24"/>
    <x v="3"/>
    <n v="6"/>
    <n v="2468.1"/>
    <n v="0"/>
    <x v="0"/>
    <x v="0"/>
    <x v="0"/>
    <n v="14808.6"/>
    <x v="2"/>
  </r>
  <r>
    <s v="OD20818"/>
    <d v="2024-08-26T00:00:00"/>
    <x v="2"/>
    <x v="0"/>
    <x v="15"/>
    <x v="6"/>
    <n v="5"/>
    <n v="463.71"/>
    <n v="0"/>
    <x v="2"/>
    <x v="4"/>
    <x v="1"/>
    <n v="2318.5500000000002"/>
    <x v="0"/>
  </r>
  <r>
    <s v="OD20819"/>
    <d v="2024-11-07T00:00:00"/>
    <x v="0"/>
    <x v="2"/>
    <x v="7"/>
    <x v="7"/>
    <n v="4"/>
    <n v="1056.2"/>
    <n v="0.2"/>
    <x v="0"/>
    <x v="0"/>
    <x v="1"/>
    <n v="3379.84"/>
    <x v="0"/>
  </r>
  <r>
    <s v="OD20820"/>
    <d v="2024-11-12T00:00:00"/>
    <x v="0"/>
    <x v="0"/>
    <x v="17"/>
    <x v="0"/>
    <n v="5"/>
    <n v="3403.2"/>
    <n v="0.1"/>
    <x v="2"/>
    <x v="4"/>
    <x v="1"/>
    <n v="15314.4"/>
    <x v="2"/>
  </r>
  <r>
    <s v="OD20821"/>
    <d v="2024-07-30T00:00:00"/>
    <x v="6"/>
    <x v="1"/>
    <x v="10"/>
    <x v="6"/>
    <n v="1"/>
    <n v="3435.56"/>
    <n v="0.1"/>
    <x v="2"/>
    <x v="3"/>
    <x v="1"/>
    <n v="3092"/>
    <x v="0"/>
  </r>
  <r>
    <s v="OD20822"/>
    <d v="2024-10-29T00:00:00"/>
    <x v="5"/>
    <x v="2"/>
    <x v="7"/>
    <x v="0"/>
    <n v="4"/>
    <n v="7538.9"/>
    <n v="0.15"/>
    <x v="0"/>
    <x v="0"/>
    <x v="1"/>
    <n v="25632.26"/>
    <x v="1"/>
  </r>
  <r>
    <s v="OD20823"/>
    <d v="2024-04-08T00:00:00"/>
    <x v="8"/>
    <x v="4"/>
    <x v="22"/>
    <x v="2"/>
    <n v="4"/>
    <n v="5651.96"/>
    <n v="0"/>
    <x v="0"/>
    <x v="3"/>
    <x v="0"/>
    <n v="22607.84"/>
    <x v="1"/>
  </r>
  <r>
    <s v="OD20824"/>
    <d v="2024-05-21T00:00:00"/>
    <x v="9"/>
    <x v="3"/>
    <x v="14"/>
    <x v="7"/>
    <n v="5"/>
    <n v="836.16"/>
    <n v="0.1"/>
    <x v="1"/>
    <x v="3"/>
    <x v="0"/>
    <n v="3762.72"/>
    <x v="0"/>
  </r>
  <r>
    <s v="OD20825"/>
    <d v="2024-09-26T00:00:00"/>
    <x v="3"/>
    <x v="3"/>
    <x v="4"/>
    <x v="3"/>
    <n v="3"/>
    <n v="2908.38"/>
    <n v="0"/>
    <x v="0"/>
    <x v="0"/>
    <x v="1"/>
    <n v="8725.14"/>
    <x v="0"/>
  </r>
  <r>
    <s v="OD20826"/>
    <d v="2024-05-18T00:00:00"/>
    <x v="9"/>
    <x v="4"/>
    <x v="22"/>
    <x v="3"/>
    <n v="2"/>
    <n v="3064.65"/>
    <n v="0.1"/>
    <x v="0"/>
    <x v="2"/>
    <x v="0"/>
    <n v="5516.37"/>
    <x v="0"/>
  </r>
  <r>
    <s v="OD20827"/>
    <d v="2024-05-27T00:00:00"/>
    <x v="9"/>
    <x v="2"/>
    <x v="3"/>
    <x v="3"/>
    <n v="1"/>
    <n v="2349.46"/>
    <n v="0.25"/>
    <x v="2"/>
    <x v="2"/>
    <x v="0"/>
    <n v="1762.1"/>
    <x v="0"/>
  </r>
  <r>
    <s v="OD20828"/>
    <d v="2024-05-14T00:00:00"/>
    <x v="9"/>
    <x v="0"/>
    <x v="0"/>
    <x v="5"/>
    <n v="6"/>
    <n v="1656.7"/>
    <n v="0.2"/>
    <x v="0"/>
    <x v="3"/>
    <x v="0"/>
    <n v="7952.16"/>
    <x v="0"/>
  </r>
  <r>
    <s v="OD20829"/>
    <d v="2024-01-14T00:00:00"/>
    <x v="1"/>
    <x v="1"/>
    <x v="9"/>
    <x v="0"/>
    <n v="2"/>
    <n v="3834.3"/>
    <n v="0"/>
    <x v="2"/>
    <x v="3"/>
    <x v="1"/>
    <n v="7668.6"/>
    <x v="0"/>
  </r>
  <r>
    <s v="OD20830"/>
    <d v="2024-07-30T00:00:00"/>
    <x v="6"/>
    <x v="0"/>
    <x v="17"/>
    <x v="6"/>
    <n v="1"/>
    <n v="1469.55"/>
    <n v="0.1"/>
    <x v="0"/>
    <x v="3"/>
    <x v="1"/>
    <n v="1322.6"/>
    <x v="0"/>
  </r>
  <r>
    <s v="OD20831"/>
    <d v="2024-11-03T00:00:00"/>
    <x v="0"/>
    <x v="3"/>
    <x v="4"/>
    <x v="6"/>
    <n v="3"/>
    <n v="2718.69"/>
    <n v="0.2"/>
    <x v="0"/>
    <x v="2"/>
    <x v="1"/>
    <n v="6524.86"/>
    <x v="0"/>
  </r>
  <r>
    <s v="OD20832"/>
    <d v="2024-08-04T00:00:00"/>
    <x v="2"/>
    <x v="1"/>
    <x v="18"/>
    <x v="5"/>
    <n v="3"/>
    <n v="3060.96"/>
    <n v="0"/>
    <x v="0"/>
    <x v="2"/>
    <x v="1"/>
    <n v="9182.8799999999992"/>
    <x v="0"/>
  </r>
  <r>
    <s v="OD20833"/>
    <d v="2024-01-06T00:00:00"/>
    <x v="1"/>
    <x v="4"/>
    <x v="8"/>
    <x v="0"/>
    <n v="5"/>
    <n v="3928.05"/>
    <n v="0.15"/>
    <x v="0"/>
    <x v="3"/>
    <x v="1"/>
    <n v="16694.21"/>
    <x v="2"/>
  </r>
  <r>
    <s v="OD20834"/>
    <d v="2024-05-03T00:00:00"/>
    <x v="9"/>
    <x v="3"/>
    <x v="4"/>
    <x v="5"/>
    <n v="5"/>
    <n v="3696.25"/>
    <n v="0"/>
    <x v="3"/>
    <x v="2"/>
    <x v="1"/>
    <n v="18481.25"/>
    <x v="2"/>
  </r>
  <r>
    <s v="OD20835"/>
    <d v="2024-07-05T00:00:00"/>
    <x v="6"/>
    <x v="4"/>
    <x v="22"/>
    <x v="6"/>
    <n v="1"/>
    <n v="5365.72"/>
    <n v="0.25"/>
    <x v="0"/>
    <x v="2"/>
    <x v="1"/>
    <n v="4024.29"/>
    <x v="0"/>
  </r>
  <r>
    <s v="OD20836"/>
    <d v="2024-06-12T00:00:00"/>
    <x v="11"/>
    <x v="0"/>
    <x v="0"/>
    <x v="3"/>
    <n v="1"/>
    <n v="1920.99"/>
    <n v="0.15"/>
    <x v="0"/>
    <x v="1"/>
    <x v="1"/>
    <n v="1632.84"/>
    <x v="0"/>
  </r>
  <r>
    <s v="OD20837"/>
    <d v="2024-07-23T00:00:00"/>
    <x v="6"/>
    <x v="0"/>
    <x v="15"/>
    <x v="0"/>
    <n v="5"/>
    <n v="715.48"/>
    <n v="0"/>
    <x v="1"/>
    <x v="4"/>
    <x v="0"/>
    <n v="3577.4"/>
    <x v="0"/>
  </r>
  <r>
    <s v="OD20838"/>
    <d v="2024-07-30T00:00:00"/>
    <x v="6"/>
    <x v="0"/>
    <x v="23"/>
    <x v="2"/>
    <n v="5"/>
    <n v="4937.34"/>
    <n v="0.25"/>
    <x v="3"/>
    <x v="4"/>
    <x v="0"/>
    <n v="18515.03"/>
    <x v="2"/>
  </r>
  <r>
    <s v="OD20839"/>
    <d v="2024-09-03T00:00:00"/>
    <x v="3"/>
    <x v="2"/>
    <x v="19"/>
    <x v="7"/>
    <n v="4"/>
    <n v="6841.87"/>
    <n v="0.1"/>
    <x v="0"/>
    <x v="2"/>
    <x v="1"/>
    <n v="24630.73"/>
    <x v="1"/>
  </r>
  <r>
    <s v="OD20840"/>
    <d v="2024-03-29T00:00:00"/>
    <x v="7"/>
    <x v="1"/>
    <x v="18"/>
    <x v="0"/>
    <n v="4"/>
    <n v="1145.67"/>
    <n v="0.25"/>
    <x v="2"/>
    <x v="1"/>
    <x v="1"/>
    <n v="3437.01"/>
    <x v="0"/>
  </r>
  <r>
    <s v="OD20841"/>
    <d v="2024-08-29T00:00:00"/>
    <x v="2"/>
    <x v="3"/>
    <x v="14"/>
    <x v="4"/>
    <n v="1"/>
    <n v="5449.32"/>
    <n v="0.2"/>
    <x v="0"/>
    <x v="4"/>
    <x v="1"/>
    <n v="4359.46"/>
    <x v="0"/>
  </r>
  <r>
    <s v="OD20842"/>
    <d v="2024-06-22T00:00:00"/>
    <x v="11"/>
    <x v="2"/>
    <x v="19"/>
    <x v="1"/>
    <n v="2"/>
    <n v="4279.4799999999996"/>
    <n v="0.2"/>
    <x v="0"/>
    <x v="0"/>
    <x v="1"/>
    <n v="6847.17"/>
    <x v="0"/>
  </r>
  <r>
    <s v="OD20843"/>
    <d v="2024-01-13T00:00:00"/>
    <x v="1"/>
    <x v="0"/>
    <x v="16"/>
    <x v="4"/>
    <n v="1"/>
    <n v="1756.52"/>
    <n v="0.1"/>
    <x v="0"/>
    <x v="3"/>
    <x v="1"/>
    <n v="1580.87"/>
    <x v="0"/>
  </r>
  <r>
    <s v="OD20844"/>
    <d v="2024-04-04T00:00:00"/>
    <x v="8"/>
    <x v="2"/>
    <x v="19"/>
    <x v="1"/>
    <n v="1"/>
    <n v="1901.65"/>
    <n v="0"/>
    <x v="0"/>
    <x v="3"/>
    <x v="1"/>
    <n v="1901.65"/>
    <x v="0"/>
  </r>
  <r>
    <s v="OD20845"/>
    <d v="2024-08-28T00:00:00"/>
    <x v="2"/>
    <x v="0"/>
    <x v="23"/>
    <x v="1"/>
    <n v="6"/>
    <n v="6998.89"/>
    <n v="0.05"/>
    <x v="0"/>
    <x v="2"/>
    <x v="1"/>
    <n v="39893.67"/>
    <x v="1"/>
  </r>
  <r>
    <s v="OD20846"/>
    <d v="2024-07-17T00:00:00"/>
    <x v="6"/>
    <x v="2"/>
    <x v="2"/>
    <x v="7"/>
    <n v="3"/>
    <n v="7588.75"/>
    <n v="0.2"/>
    <x v="2"/>
    <x v="0"/>
    <x v="0"/>
    <n v="18213"/>
    <x v="2"/>
  </r>
  <r>
    <s v="OD20847"/>
    <d v="2024-12-19T00:00:00"/>
    <x v="4"/>
    <x v="0"/>
    <x v="23"/>
    <x v="7"/>
    <n v="2"/>
    <n v="1848.44"/>
    <n v="0.1"/>
    <x v="0"/>
    <x v="4"/>
    <x v="1"/>
    <n v="3327.19"/>
    <x v="0"/>
  </r>
  <r>
    <s v="OD20848"/>
    <d v="2024-07-05T00:00:00"/>
    <x v="6"/>
    <x v="4"/>
    <x v="5"/>
    <x v="4"/>
    <n v="2"/>
    <n v="7750.41"/>
    <n v="0.05"/>
    <x v="0"/>
    <x v="4"/>
    <x v="0"/>
    <n v="14725.78"/>
    <x v="2"/>
  </r>
  <r>
    <s v="OD20849"/>
    <d v="2024-04-21T00:00:00"/>
    <x v="8"/>
    <x v="1"/>
    <x v="9"/>
    <x v="6"/>
    <n v="4"/>
    <n v="6883.6"/>
    <n v="0"/>
    <x v="0"/>
    <x v="1"/>
    <x v="1"/>
    <n v="27534.400000000001"/>
    <x v="1"/>
  </r>
  <r>
    <s v="OD20850"/>
    <d v="2024-10-19T00:00:00"/>
    <x v="5"/>
    <x v="2"/>
    <x v="19"/>
    <x v="1"/>
    <n v="2"/>
    <n v="4292.24"/>
    <n v="0.15"/>
    <x v="0"/>
    <x v="1"/>
    <x v="1"/>
    <n v="7296.81"/>
    <x v="0"/>
  </r>
  <r>
    <s v="OD20851"/>
    <d v="2024-04-13T00:00:00"/>
    <x v="8"/>
    <x v="0"/>
    <x v="0"/>
    <x v="2"/>
    <n v="4"/>
    <n v="7491.71"/>
    <n v="0"/>
    <x v="2"/>
    <x v="0"/>
    <x v="1"/>
    <n v="29966.84"/>
    <x v="1"/>
  </r>
  <r>
    <s v="OD20852"/>
    <d v="2024-04-04T00:00:00"/>
    <x v="8"/>
    <x v="0"/>
    <x v="23"/>
    <x v="0"/>
    <n v="5"/>
    <n v="4894.7700000000004"/>
    <n v="0.1"/>
    <x v="2"/>
    <x v="4"/>
    <x v="1"/>
    <n v="22026.47"/>
    <x v="1"/>
  </r>
  <r>
    <s v="OD20853"/>
    <d v="2024-05-26T00:00:00"/>
    <x v="9"/>
    <x v="1"/>
    <x v="10"/>
    <x v="5"/>
    <n v="6"/>
    <n v="4312.5200000000004"/>
    <n v="0.2"/>
    <x v="3"/>
    <x v="2"/>
    <x v="1"/>
    <n v="25874.920000000002"/>
    <x v="1"/>
  </r>
  <r>
    <s v="OD20854"/>
    <d v="2024-08-07T00:00:00"/>
    <x v="2"/>
    <x v="0"/>
    <x v="17"/>
    <x v="7"/>
    <n v="1"/>
    <n v="3245.4"/>
    <n v="0"/>
    <x v="2"/>
    <x v="0"/>
    <x v="1"/>
    <n v="3245.4"/>
    <x v="0"/>
  </r>
  <r>
    <s v="OD20855"/>
    <d v="2024-06-30T00:00:00"/>
    <x v="11"/>
    <x v="1"/>
    <x v="11"/>
    <x v="3"/>
    <n v="2"/>
    <n v="7262.99"/>
    <n v="0"/>
    <x v="0"/>
    <x v="0"/>
    <x v="1"/>
    <n v="14525.98"/>
    <x v="2"/>
  </r>
  <r>
    <s v="OD20856"/>
    <d v="2024-11-01T00:00:00"/>
    <x v="0"/>
    <x v="4"/>
    <x v="24"/>
    <x v="0"/>
    <n v="4"/>
    <n v="5270.33"/>
    <n v="0.1"/>
    <x v="3"/>
    <x v="0"/>
    <x v="1"/>
    <n v="18973.189999999999"/>
    <x v="2"/>
  </r>
  <r>
    <s v="OD20857"/>
    <d v="2024-11-05T00:00:00"/>
    <x v="0"/>
    <x v="0"/>
    <x v="16"/>
    <x v="0"/>
    <n v="4"/>
    <n v="5326.71"/>
    <n v="0.2"/>
    <x v="1"/>
    <x v="0"/>
    <x v="1"/>
    <n v="17045.47"/>
    <x v="2"/>
  </r>
  <r>
    <s v="OD20858"/>
    <d v="2024-08-31T00:00:00"/>
    <x v="2"/>
    <x v="1"/>
    <x v="9"/>
    <x v="5"/>
    <n v="1"/>
    <n v="1509.89"/>
    <n v="0.15"/>
    <x v="0"/>
    <x v="3"/>
    <x v="1"/>
    <n v="1283.4100000000001"/>
    <x v="0"/>
  </r>
  <r>
    <s v="OD20859"/>
    <d v="2024-11-18T00:00:00"/>
    <x v="0"/>
    <x v="1"/>
    <x v="9"/>
    <x v="7"/>
    <n v="2"/>
    <n v="4797.34"/>
    <n v="0.2"/>
    <x v="3"/>
    <x v="2"/>
    <x v="1"/>
    <n v="7675.74"/>
    <x v="0"/>
  </r>
  <r>
    <s v="OD20860"/>
    <d v="2024-07-26T00:00:00"/>
    <x v="6"/>
    <x v="4"/>
    <x v="8"/>
    <x v="0"/>
    <n v="5"/>
    <n v="3656.2"/>
    <n v="0"/>
    <x v="3"/>
    <x v="4"/>
    <x v="1"/>
    <n v="18281"/>
    <x v="2"/>
  </r>
  <r>
    <s v="OD20861"/>
    <d v="2024-04-19T00:00:00"/>
    <x v="8"/>
    <x v="4"/>
    <x v="8"/>
    <x v="0"/>
    <n v="2"/>
    <n v="214.86"/>
    <n v="0.2"/>
    <x v="0"/>
    <x v="3"/>
    <x v="1"/>
    <n v="343.78"/>
    <x v="0"/>
  </r>
  <r>
    <s v="OD20862"/>
    <d v="2024-08-23T00:00:00"/>
    <x v="2"/>
    <x v="4"/>
    <x v="8"/>
    <x v="0"/>
    <n v="1"/>
    <n v="1182.5999999999999"/>
    <n v="0.1"/>
    <x v="0"/>
    <x v="3"/>
    <x v="0"/>
    <n v="1064.3399999999999"/>
    <x v="0"/>
  </r>
  <r>
    <s v="OD20863"/>
    <d v="2024-12-27T00:00:00"/>
    <x v="4"/>
    <x v="2"/>
    <x v="2"/>
    <x v="0"/>
    <n v="3"/>
    <n v="572.30999999999995"/>
    <n v="0"/>
    <x v="0"/>
    <x v="4"/>
    <x v="1"/>
    <n v="1716.93"/>
    <x v="0"/>
  </r>
  <r>
    <s v="OD20864"/>
    <d v="2024-02-15T00:00:00"/>
    <x v="10"/>
    <x v="1"/>
    <x v="1"/>
    <x v="0"/>
    <n v="4"/>
    <n v="4238.09"/>
    <n v="0.1"/>
    <x v="0"/>
    <x v="0"/>
    <x v="0"/>
    <n v="15257.12"/>
    <x v="2"/>
  </r>
  <r>
    <s v="OD20865"/>
    <d v="2024-06-17T00:00:00"/>
    <x v="11"/>
    <x v="2"/>
    <x v="2"/>
    <x v="3"/>
    <n v="5"/>
    <n v="6668.02"/>
    <n v="0"/>
    <x v="0"/>
    <x v="3"/>
    <x v="0"/>
    <n v="33340.1"/>
    <x v="1"/>
  </r>
  <r>
    <s v="OD20866"/>
    <d v="2024-10-29T00:00:00"/>
    <x v="5"/>
    <x v="0"/>
    <x v="23"/>
    <x v="7"/>
    <n v="1"/>
    <n v="7012.39"/>
    <n v="0.05"/>
    <x v="0"/>
    <x v="0"/>
    <x v="1"/>
    <n v="6661.77"/>
    <x v="0"/>
  </r>
  <r>
    <s v="OD20867"/>
    <d v="2024-10-22T00:00:00"/>
    <x v="5"/>
    <x v="1"/>
    <x v="1"/>
    <x v="6"/>
    <n v="5"/>
    <n v="3338.97"/>
    <n v="0.1"/>
    <x v="0"/>
    <x v="0"/>
    <x v="1"/>
    <n v="15025.36"/>
    <x v="2"/>
  </r>
  <r>
    <s v="OD20868"/>
    <d v="2024-12-04T00:00:00"/>
    <x v="4"/>
    <x v="0"/>
    <x v="15"/>
    <x v="2"/>
    <n v="1"/>
    <n v="6893.57"/>
    <n v="0.2"/>
    <x v="0"/>
    <x v="1"/>
    <x v="0"/>
    <n v="5514.86"/>
    <x v="0"/>
  </r>
  <r>
    <s v="OD20869"/>
    <d v="2024-10-18T00:00:00"/>
    <x v="5"/>
    <x v="1"/>
    <x v="1"/>
    <x v="1"/>
    <n v="5"/>
    <n v="2281.39"/>
    <n v="0.1"/>
    <x v="0"/>
    <x v="4"/>
    <x v="0"/>
    <n v="10266.25"/>
    <x v="2"/>
  </r>
  <r>
    <s v="OD20870"/>
    <d v="2024-04-06T00:00:00"/>
    <x v="8"/>
    <x v="1"/>
    <x v="18"/>
    <x v="1"/>
    <n v="5"/>
    <n v="3639.26"/>
    <n v="0.1"/>
    <x v="1"/>
    <x v="4"/>
    <x v="1"/>
    <n v="16376.67"/>
    <x v="2"/>
  </r>
  <r>
    <s v="OD20871"/>
    <d v="2024-09-17T00:00:00"/>
    <x v="3"/>
    <x v="0"/>
    <x v="15"/>
    <x v="1"/>
    <n v="4"/>
    <n v="7789.26"/>
    <n v="0"/>
    <x v="2"/>
    <x v="3"/>
    <x v="1"/>
    <n v="31157.040000000001"/>
    <x v="1"/>
  </r>
  <r>
    <s v="OD20872"/>
    <d v="2024-11-30T00:00:00"/>
    <x v="0"/>
    <x v="0"/>
    <x v="0"/>
    <x v="3"/>
    <n v="1"/>
    <n v="6848"/>
    <n v="0"/>
    <x v="0"/>
    <x v="1"/>
    <x v="1"/>
    <n v="6848"/>
    <x v="0"/>
  </r>
  <r>
    <s v="OD20873"/>
    <d v="2024-11-05T00:00:00"/>
    <x v="0"/>
    <x v="4"/>
    <x v="8"/>
    <x v="0"/>
    <n v="2"/>
    <n v="848.46"/>
    <n v="0.15"/>
    <x v="1"/>
    <x v="4"/>
    <x v="0"/>
    <n v="1442.38"/>
    <x v="0"/>
  </r>
  <r>
    <s v="OD20874"/>
    <d v="2024-10-15T00:00:00"/>
    <x v="5"/>
    <x v="3"/>
    <x v="14"/>
    <x v="5"/>
    <n v="1"/>
    <n v="2246.25"/>
    <n v="0.05"/>
    <x v="1"/>
    <x v="4"/>
    <x v="1"/>
    <n v="2133.94"/>
    <x v="0"/>
  </r>
  <r>
    <s v="OD20875"/>
    <d v="2024-02-23T00:00:00"/>
    <x v="10"/>
    <x v="4"/>
    <x v="6"/>
    <x v="0"/>
    <n v="2"/>
    <n v="3328.59"/>
    <n v="0.2"/>
    <x v="1"/>
    <x v="0"/>
    <x v="1"/>
    <n v="5325.74"/>
    <x v="0"/>
  </r>
  <r>
    <s v="OD20876"/>
    <d v="2024-04-25T00:00:00"/>
    <x v="8"/>
    <x v="3"/>
    <x v="12"/>
    <x v="3"/>
    <n v="2"/>
    <n v="2144.84"/>
    <n v="0.15"/>
    <x v="0"/>
    <x v="2"/>
    <x v="1"/>
    <n v="3646.23"/>
    <x v="0"/>
  </r>
  <r>
    <s v="OD20877"/>
    <d v="2024-10-23T00:00:00"/>
    <x v="5"/>
    <x v="0"/>
    <x v="0"/>
    <x v="0"/>
    <n v="2"/>
    <n v="2088.85"/>
    <n v="0.2"/>
    <x v="0"/>
    <x v="0"/>
    <x v="1"/>
    <n v="3342.16"/>
    <x v="0"/>
  </r>
  <r>
    <s v="OD20878"/>
    <d v="2024-05-11T00:00:00"/>
    <x v="9"/>
    <x v="0"/>
    <x v="23"/>
    <x v="6"/>
    <n v="5"/>
    <n v="4282.59"/>
    <n v="0.1"/>
    <x v="0"/>
    <x v="3"/>
    <x v="0"/>
    <n v="19271.66"/>
    <x v="2"/>
  </r>
  <r>
    <s v="OD20879"/>
    <d v="2024-10-26T00:00:00"/>
    <x v="5"/>
    <x v="3"/>
    <x v="12"/>
    <x v="6"/>
    <n v="2"/>
    <n v="4674.4799999999996"/>
    <n v="0.05"/>
    <x v="0"/>
    <x v="3"/>
    <x v="1"/>
    <n v="8881.51"/>
    <x v="0"/>
  </r>
  <r>
    <s v="OD20880"/>
    <d v="2024-05-29T00:00:00"/>
    <x v="9"/>
    <x v="1"/>
    <x v="9"/>
    <x v="4"/>
    <n v="4"/>
    <n v="4390.1499999999996"/>
    <n v="0.25"/>
    <x v="2"/>
    <x v="3"/>
    <x v="1"/>
    <n v="13170.45"/>
    <x v="2"/>
  </r>
  <r>
    <s v="OD20881"/>
    <d v="2024-07-09T00:00:00"/>
    <x v="6"/>
    <x v="4"/>
    <x v="5"/>
    <x v="1"/>
    <n v="5"/>
    <n v="6794.79"/>
    <n v="0.1"/>
    <x v="3"/>
    <x v="0"/>
    <x v="1"/>
    <n v="30576.55"/>
    <x v="1"/>
  </r>
  <r>
    <s v="OD20882"/>
    <d v="2024-05-06T00:00:00"/>
    <x v="9"/>
    <x v="1"/>
    <x v="11"/>
    <x v="2"/>
    <n v="4"/>
    <n v="7732.17"/>
    <n v="0.05"/>
    <x v="1"/>
    <x v="1"/>
    <x v="1"/>
    <n v="29382.25"/>
    <x v="1"/>
  </r>
  <r>
    <s v="OD20883"/>
    <d v="2024-12-22T00:00:00"/>
    <x v="4"/>
    <x v="1"/>
    <x v="18"/>
    <x v="1"/>
    <n v="5"/>
    <n v="3904.79"/>
    <n v="0.15"/>
    <x v="0"/>
    <x v="2"/>
    <x v="1"/>
    <n v="16595.36"/>
    <x v="2"/>
  </r>
  <r>
    <s v="OD20884"/>
    <d v="2024-06-20T00:00:00"/>
    <x v="11"/>
    <x v="2"/>
    <x v="7"/>
    <x v="5"/>
    <n v="3"/>
    <n v="4677.2299999999996"/>
    <n v="0.1"/>
    <x v="0"/>
    <x v="4"/>
    <x v="1"/>
    <n v="12628.52"/>
    <x v="2"/>
  </r>
  <r>
    <s v="OD20885"/>
    <d v="2024-01-05T00:00:00"/>
    <x v="1"/>
    <x v="3"/>
    <x v="14"/>
    <x v="4"/>
    <n v="3"/>
    <n v="4313.9399999999996"/>
    <n v="0.05"/>
    <x v="0"/>
    <x v="1"/>
    <x v="1"/>
    <n v="12294.73"/>
    <x v="2"/>
  </r>
  <r>
    <s v="OD20886"/>
    <d v="2024-06-19T00:00:00"/>
    <x v="11"/>
    <x v="1"/>
    <x v="9"/>
    <x v="5"/>
    <n v="1"/>
    <n v="6576.01"/>
    <n v="0"/>
    <x v="0"/>
    <x v="0"/>
    <x v="1"/>
    <n v="6576.01"/>
    <x v="0"/>
  </r>
  <r>
    <s v="OD20887"/>
    <d v="2024-08-18T00:00:00"/>
    <x v="2"/>
    <x v="3"/>
    <x v="14"/>
    <x v="2"/>
    <n v="3"/>
    <n v="4483.07"/>
    <n v="0.2"/>
    <x v="0"/>
    <x v="1"/>
    <x v="1"/>
    <n v="10759.37"/>
    <x v="2"/>
  </r>
  <r>
    <s v="OD20888"/>
    <d v="2024-03-28T00:00:00"/>
    <x v="7"/>
    <x v="0"/>
    <x v="15"/>
    <x v="7"/>
    <n v="1"/>
    <n v="5313.03"/>
    <n v="0"/>
    <x v="2"/>
    <x v="1"/>
    <x v="1"/>
    <n v="5313.03"/>
    <x v="0"/>
  </r>
  <r>
    <s v="OD20889"/>
    <d v="2024-12-26T00:00:00"/>
    <x v="4"/>
    <x v="3"/>
    <x v="4"/>
    <x v="2"/>
    <n v="1"/>
    <n v="7270.5"/>
    <n v="0"/>
    <x v="1"/>
    <x v="4"/>
    <x v="1"/>
    <n v="7270.5"/>
    <x v="0"/>
  </r>
  <r>
    <s v="OD20890"/>
    <d v="2024-04-28T00:00:00"/>
    <x v="8"/>
    <x v="3"/>
    <x v="12"/>
    <x v="3"/>
    <n v="3"/>
    <n v="6080.56"/>
    <n v="0.05"/>
    <x v="0"/>
    <x v="3"/>
    <x v="1"/>
    <n v="17329.599999999999"/>
    <x v="2"/>
  </r>
  <r>
    <s v="OD20891"/>
    <d v="2024-08-08T00:00:00"/>
    <x v="2"/>
    <x v="0"/>
    <x v="0"/>
    <x v="0"/>
    <n v="2"/>
    <n v="3394.83"/>
    <n v="0"/>
    <x v="2"/>
    <x v="2"/>
    <x v="1"/>
    <n v="6789.66"/>
    <x v="0"/>
  </r>
  <r>
    <s v="OD20892"/>
    <d v="2024-10-17T00:00:00"/>
    <x v="5"/>
    <x v="3"/>
    <x v="12"/>
    <x v="4"/>
    <n v="6"/>
    <n v="4165.3999999999996"/>
    <n v="0"/>
    <x v="2"/>
    <x v="0"/>
    <x v="1"/>
    <n v="24992.400000000001"/>
    <x v="1"/>
  </r>
  <r>
    <s v="OD20893"/>
    <d v="2024-09-14T00:00:00"/>
    <x v="3"/>
    <x v="0"/>
    <x v="16"/>
    <x v="0"/>
    <n v="5"/>
    <n v="2835.98"/>
    <n v="0.1"/>
    <x v="0"/>
    <x v="2"/>
    <x v="0"/>
    <n v="12761.91"/>
    <x v="2"/>
  </r>
  <r>
    <s v="OD20894"/>
    <d v="2024-09-22T00:00:00"/>
    <x v="3"/>
    <x v="3"/>
    <x v="4"/>
    <x v="6"/>
    <n v="3"/>
    <n v="7818.82"/>
    <n v="0.15"/>
    <x v="0"/>
    <x v="0"/>
    <x v="1"/>
    <n v="19937.990000000002"/>
    <x v="2"/>
  </r>
  <r>
    <s v="OD20895"/>
    <d v="2024-03-05T00:00:00"/>
    <x v="7"/>
    <x v="1"/>
    <x v="10"/>
    <x v="7"/>
    <n v="6"/>
    <n v="4716.21"/>
    <n v="0.1"/>
    <x v="0"/>
    <x v="2"/>
    <x v="0"/>
    <n v="25467.53"/>
    <x v="1"/>
  </r>
  <r>
    <s v="OD20896"/>
    <d v="2024-12-03T00:00:00"/>
    <x v="4"/>
    <x v="1"/>
    <x v="9"/>
    <x v="1"/>
    <n v="1"/>
    <n v="4193.9399999999996"/>
    <n v="0.25"/>
    <x v="3"/>
    <x v="1"/>
    <x v="0"/>
    <n v="4193.6899999999996"/>
    <x v="0"/>
  </r>
  <r>
    <s v="OD20897"/>
    <d v="2024-05-25T00:00:00"/>
    <x v="9"/>
    <x v="4"/>
    <x v="6"/>
    <x v="6"/>
    <n v="1"/>
    <n v="7721.17"/>
    <n v="0.05"/>
    <x v="1"/>
    <x v="1"/>
    <x v="1"/>
    <n v="7335.11"/>
    <x v="0"/>
  </r>
  <r>
    <s v="OD20898"/>
    <d v="2024-09-29T00:00:00"/>
    <x v="3"/>
    <x v="2"/>
    <x v="7"/>
    <x v="4"/>
    <n v="5"/>
    <n v="4319.1000000000004"/>
    <n v="0.05"/>
    <x v="0"/>
    <x v="2"/>
    <x v="0"/>
    <n v="20515.72"/>
    <x v="1"/>
  </r>
  <r>
    <s v="OD20899"/>
    <d v="2024-01-16T00:00:00"/>
    <x v="1"/>
    <x v="0"/>
    <x v="23"/>
    <x v="3"/>
    <n v="4"/>
    <n v="7213.88"/>
    <n v="0.2"/>
    <x v="0"/>
    <x v="4"/>
    <x v="1"/>
    <n v="23084.42"/>
    <x v="1"/>
  </r>
  <r>
    <s v="OD20900"/>
    <d v="2024-01-15T00:00:00"/>
    <x v="1"/>
    <x v="0"/>
    <x v="15"/>
    <x v="2"/>
    <n v="6"/>
    <n v="1825.78"/>
    <n v="0.25"/>
    <x v="0"/>
    <x v="4"/>
    <x v="1"/>
    <n v="8216.01"/>
    <x v="0"/>
  </r>
  <r>
    <s v="OD20901"/>
    <d v="2024-04-08T00:00:00"/>
    <x v="8"/>
    <x v="3"/>
    <x v="4"/>
    <x v="4"/>
    <n v="3"/>
    <n v="3924.76"/>
    <n v="0.05"/>
    <x v="0"/>
    <x v="3"/>
    <x v="1"/>
    <n v="11185.57"/>
    <x v="2"/>
  </r>
  <r>
    <s v="OD20902"/>
    <d v="2024-03-12T00:00:00"/>
    <x v="7"/>
    <x v="0"/>
    <x v="16"/>
    <x v="5"/>
    <n v="6"/>
    <n v="1508.88"/>
    <n v="0.1"/>
    <x v="2"/>
    <x v="1"/>
    <x v="1"/>
    <n v="8147.95"/>
    <x v="0"/>
  </r>
  <r>
    <s v="OD20903"/>
    <d v="2024-12-11T00:00:00"/>
    <x v="4"/>
    <x v="3"/>
    <x v="21"/>
    <x v="1"/>
    <n v="3"/>
    <n v="1816.93"/>
    <n v="0.25"/>
    <x v="0"/>
    <x v="3"/>
    <x v="0"/>
    <n v="4088.09"/>
    <x v="0"/>
  </r>
  <r>
    <s v="OD20904"/>
    <d v="2024-12-14T00:00:00"/>
    <x v="4"/>
    <x v="1"/>
    <x v="1"/>
    <x v="5"/>
    <n v="1"/>
    <n v="5375.47"/>
    <n v="0.1"/>
    <x v="2"/>
    <x v="3"/>
    <x v="0"/>
    <n v="4837.92"/>
    <x v="0"/>
  </r>
  <r>
    <s v="OD20905"/>
    <d v="2024-10-15T00:00:00"/>
    <x v="5"/>
    <x v="2"/>
    <x v="19"/>
    <x v="1"/>
    <n v="4"/>
    <n v="6652.02"/>
    <n v="0.1"/>
    <x v="1"/>
    <x v="3"/>
    <x v="1"/>
    <n v="23947.27"/>
    <x v="1"/>
  </r>
  <r>
    <s v="OD20906"/>
    <d v="2024-09-11T00:00:00"/>
    <x v="3"/>
    <x v="1"/>
    <x v="11"/>
    <x v="2"/>
    <n v="1"/>
    <n v="4714.26"/>
    <n v="0.15"/>
    <x v="1"/>
    <x v="2"/>
    <x v="0"/>
    <n v="4007.12"/>
    <x v="0"/>
  </r>
  <r>
    <s v="OD20907"/>
    <d v="2024-06-17T00:00:00"/>
    <x v="11"/>
    <x v="1"/>
    <x v="9"/>
    <x v="5"/>
    <n v="1"/>
    <n v="1328.28"/>
    <n v="0"/>
    <x v="1"/>
    <x v="2"/>
    <x v="1"/>
    <n v="1328.28"/>
    <x v="0"/>
  </r>
  <r>
    <s v="OD20908"/>
    <d v="2024-09-13T00:00:00"/>
    <x v="3"/>
    <x v="3"/>
    <x v="13"/>
    <x v="7"/>
    <n v="4"/>
    <n v="2221.23"/>
    <n v="0"/>
    <x v="1"/>
    <x v="4"/>
    <x v="1"/>
    <n v="8884.92"/>
    <x v="0"/>
  </r>
  <r>
    <s v="OD20909"/>
    <d v="2024-06-02T00:00:00"/>
    <x v="11"/>
    <x v="3"/>
    <x v="21"/>
    <x v="1"/>
    <n v="4"/>
    <n v="4195.33"/>
    <n v="0.15"/>
    <x v="2"/>
    <x v="0"/>
    <x v="1"/>
    <n v="14264.12"/>
    <x v="2"/>
  </r>
  <r>
    <s v="OD20910"/>
    <d v="2024-02-19T00:00:00"/>
    <x v="10"/>
    <x v="4"/>
    <x v="24"/>
    <x v="6"/>
    <n v="6"/>
    <n v="7816.03"/>
    <n v="0.1"/>
    <x v="3"/>
    <x v="0"/>
    <x v="1"/>
    <n v="42206.559999999998"/>
    <x v="1"/>
  </r>
  <r>
    <s v="OD20911"/>
    <d v="2024-08-05T00:00:00"/>
    <x v="2"/>
    <x v="1"/>
    <x v="1"/>
    <x v="3"/>
    <n v="5"/>
    <n v="6634.62"/>
    <n v="0.2"/>
    <x v="0"/>
    <x v="4"/>
    <x v="1"/>
    <n v="26538.48"/>
    <x v="1"/>
  </r>
  <r>
    <s v="OD20912"/>
    <d v="2024-02-28T00:00:00"/>
    <x v="10"/>
    <x v="1"/>
    <x v="10"/>
    <x v="5"/>
    <n v="2"/>
    <n v="6232.66"/>
    <n v="0"/>
    <x v="2"/>
    <x v="4"/>
    <x v="1"/>
    <n v="12465.32"/>
    <x v="2"/>
  </r>
  <r>
    <s v="OD20913"/>
    <d v="2024-01-10T00:00:00"/>
    <x v="1"/>
    <x v="4"/>
    <x v="6"/>
    <x v="4"/>
    <n v="3"/>
    <n v="2140.23"/>
    <n v="0.2"/>
    <x v="1"/>
    <x v="2"/>
    <x v="1"/>
    <n v="6420.4900000000007"/>
    <x v="0"/>
  </r>
  <r>
    <s v="OD20914"/>
    <d v="2024-06-17T00:00:00"/>
    <x v="11"/>
    <x v="2"/>
    <x v="3"/>
    <x v="0"/>
    <n v="1"/>
    <n v="956.67"/>
    <n v="0.05"/>
    <x v="3"/>
    <x v="1"/>
    <x v="1"/>
    <n v="908.84"/>
    <x v="0"/>
  </r>
  <r>
    <s v="OD20915"/>
    <d v="2024-09-30T00:00:00"/>
    <x v="3"/>
    <x v="0"/>
    <x v="0"/>
    <x v="7"/>
    <n v="3"/>
    <n v="2381.37"/>
    <n v="0.1"/>
    <x v="1"/>
    <x v="0"/>
    <x v="1"/>
    <n v="6429.7"/>
    <x v="0"/>
  </r>
  <r>
    <s v="OD20916"/>
    <d v="2024-01-16T00:00:00"/>
    <x v="1"/>
    <x v="1"/>
    <x v="9"/>
    <x v="5"/>
    <n v="6"/>
    <n v="6747.64"/>
    <n v="0"/>
    <x v="0"/>
    <x v="1"/>
    <x v="1"/>
    <n v="40485.839999999997"/>
    <x v="1"/>
  </r>
  <r>
    <s v="OD20917"/>
    <d v="2024-01-02T00:00:00"/>
    <x v="1"/>
    <x v="2"/>
    <x v="19"/>
    <x v="3"/>
    <n v="1"/>
    <n v="5743.91"/>
    <n v="0"/>
    <x v="0"/>
    <x v="0"/>
    <x v="1"/>
    <n v="5743.91"/>
    <x v="0"/>
  </r>
  <r>
    <s v="OD20918"/>
    <d v="2024-11-19T00:00:00"/>
    <x v="0"/>
    <x v="3"/>
    <x v="12"/>
    <x v="2"/>
    <n v="4"/>
    <n v="7238.53"/>
    <n v="0.2"/>
    <x v="1"/>
    <x v="4"/>
    <x v="0"/>
    <n v="23163.3"/>
    <x v="1"/>
  </r>
  <r>
    <s v="OD20919"/>
    <d v="2024-06-27T00:00:00"/>
    <x v="11"/>
    <x v="4"/>
    <x v="24"/>
    <x v="2"/>
    <n v="3"/>
    <n v="3867.11"/>
    <n v="0.15"/>
    <x v="0"/>
    <x v="1"/>
    <x v="1"/>
    <n v="9861.1299999999992"/>
    <x v="0"/>
  </r>
  <r>
    <s v="OD20920"/>
    <d v="2024-07-30T00:00:00"/>
    <x v="6"/>
    <x v="1"/>
    <x v="10"/>
    <x v="1"/>
    <n v="4"/>
    <n v="4480.08"/>
    <n v="0.25"/>
    <x v="0"/>
    <x v="0"/>
    <x v="1"/>
    <n v="13440.24"/>
    <x v="2"/>
  </r>
  <r>
    <s v="OD20921"/>
    <d v="2024-01-31T00:00:00"/>
    <x v="1"/>
    <x v="4"/>
    <x v="8"/>
    <x v="2"/>
    <n v="6"/>
    <n v="4673.2"/>
    <n v="0.15"/>
    <x v="0"/>
    <x v="1"/>
    <x v="1"/>
    <n v="23833.32"/>
    <x v="1"/>
  </r>
  <r>
    <s v="OD20922"/>
    <d v="2024-09-06T00:00:00"/>
    <x v="3"/>
    <x v="2"/>
    <x v="3"/>
    <x v="5"/>
    <n v="3"/>
    <n v="6801.5"/>
    <n v="0.15"/>
    <x v="0"/>
    <x v="3"/>
    <x v="0"/>
    <n v="17343.830000000002"/>
    <x v="2"/>
  </r>
  <r>
    <s v="OD20923"/>
    <d v="2024-08-18T00:00:00"/>
    <x v="2"/>
    <x v="2"/>
    <x v="19"/>
    <x v="5"/>
    <n v="1"/>
    <n v="6595.63"/>
    <n v="0.15"/>
    <x v="1"/>
    <x v="3"/>
    <x v="0"/>
    <n v="5606.29"/>
    <x v="0"/>
  </r>
  <r>
    <s v="OD20924"/>
    <d v="2024-04-14T00:00:00"/>
    <x v="8"/>
    <x v="1"/>
    <x v="9"/>
    <x v="1"/>
    <n v="2"/>
    <n v="3249.9"/>
    <n v="0.15"/>
    <x v="0"/>
    <x v="4"/>
    <x v="1"/>
    <n v="5524.83"/>
    <x v="0"/>
  </r>
  <r>
    <s v="OD20925"/>
    <d v="2024-11-20T00:00:00"/>
    <x v="0"/>
    <x v="1"/>
    <x v="9"/>
    <x v="4"/>
    <n v="2"/>
    <n v="2030.51"/>
    <n v="0.2"/>
    <x v="0"/>
    <x v="0"/>
    <x v="1"/>
    <n v="3248.82"/>
    <x v="0"/>
  </r>
  <r>
    <s v="OD20926"/>
    <d v="2024-06-13T00:00:00"/>
    <x v="11"/>
    <x v="1"/>
    <x v="10"/>
    <x v="2"/>
    <n v="1"/>
    <n v="3877.66"/>
    <n v="0.1"/>
    <x v="1"/>
    <x v="2"/>
    <x v="1"/>
    <n v="3489.89"/>
    <x v="0"/>
  </r>
  <r>
    <s v="OD20927"/>
    <d v="2024-09-25T00:00:00"/>
    <x v="3"/>
    <x v="2"/>
    <x v="19"/>
    <x v="7"/>
    <n v="1"/>
    <n v="2871.92"/>
    <n v="0.05"/>
    <x v="0"/>
    <x v="1"/>
    <x v="1"/>
    <n v="2728.32"/>
    <x v="0"/>
  </r>
  <r>
    <s v="OD20928"/>
    <d v="2024-12-20T00:00:00"/>
    <x v="4"/>
    <x v="3"/>
    <x v="4"/>
    <x v="3"/>
    <n v="4"/>
    <n v="5474.28"/>
    <n v="0.1"/>
    <x v="3"/>
    <x v="2"/>
    <x v="1"/>
    <n v="19707.41"/>
    <x v="2"/>
  </r>
  <r>
    <s v="OD20929"/>
    <d v="2024-11-02T00:00:00"/>
    <x v="0"/>
    <x v="3"/>
    <x v="12"/>
    <x v="4"/>
    <n v="3"/>
    <n v="3855.7"/>
    <n v="0"/>
    <x v="3"/>
    <x v="4"/>
    <x v="1"/>
    <n v="11567.1"/>
    <x v="2"/>
  </r>
  <r>
    <s v="OD20930"/>
    <d v="2024-08-03T00:00:00"/>
    <x v="2"/>
    <x v="0"/>
    <x v="16"/>
    <x v="5"/>
    <n v="6"/>
    <n v="5700.01"/>
    <n v="0.1"/>
    <x v="1"/>
    <x v="1"/>
    <x v="1"/>
    <n v="30780.05"/>
    <x v="1"/>
  </r>
  <r>
    <s v="OD20931"/>
    <d v="2024-11-02T00:00:00"/>
    <x v="0"/>
    <x v="4"/>
    <x v="22"/>
    <x v="4"/>
    <n v="3"/>
    <n v="2074.88"/>
    <n v="0.15"/>
    <x v="3"/>
    <x v="1"/>
    <x v="1"/>
    <n v="5290.94"/>
    <x v="0"/>
  </r>
  <r>
    <s v="OD20932"/>
    <d v="2024-09-16T00:00:00"/>
    <x v="3"/>
    <x v="2"/>
    <x v="19"/>
    <x v="6"/>
    <n v="2"/>
    <n v="7349.49"/>
    <n v="0.15"/>
    <x v="0"/>
    <x v="0"/>
    <x v="1"/>
    <n v="12494.13"/>
    <x v="2"/>
  </r>
  <r>
    <s v="OD20933"/>
    <d v="2024-07-17T00:00:00"/>
    <x v="6"/>
    <x v="0"/>
    <x v="23"/>
    <x v="6"/>
    <n v="4"/>
    <n v="3106.29"/>
    <n v="0.1"/>
    <x v="0"/>
    <x v="4"/>
    <x v="1"/>
    <n v="11182.64"/>
    <x v="2"/>
  </r>
  <r>
    <s v="OD20934"/>
    <d v="2024-07-12T00:00:00"/>
    <x v="6"/>
    <x v="0"/>
    <x v="0"/>
    <x v="5"/>
    <n v="5"/>
    <n v="3315.43"/>
    <n v="0"/>
    <x v="3"/>
    <x v="0"/>
    <x v="1"/>
    <n v="16577.150000000001"/>
    <x v="2"/>
  </r>
  <r>
    <s v="OD20935"/>
    <d v="2024-05-31T00:00:00"/>
    <x v="9"/>
    <x v="2"/>
    <x v="20"/>
    <x v="6"/>
    <n v="3"/>
    <n v="7909.06"/>
    <n v="0"/>
    <x v="3"/>
    <x v="1"/>
    <x v="0"/>
    <n v="23727.18"/>
    <x v="1"/>
  </r>
  <r>
    <s v="OD20936"/>
    <d v="2024-07-11T00:00:00"/>
    <x v="6"/>
    <x v="4"/>
    <x v="5"/>
    <x v="4"/>
    <n v="2"/>
    <n v="7512.82"/>
    <n v="0"/>
    <x v="2"/>
    <x v="4"/>
    <x v="1"/>
    <n v="15025.64"/>
    <x v="2"/>
  </r>
  <r>
    <s v="OD20937"/>
    <d v="2024-06-20T00:00:00"/>
    <x v="11"/>
    <x v="0"/>
    <x v="23"/>
    <x v="5"/>
    <n v="1"/>
    <n v="2167.38"/>
    <n v="0.1"/>
    <x v="1"/>
    <x v="0"/>
    <x v="1"/>
    <n v="2167.2800000000002"/>
    <x v="0"/>
  </r>
  <r>
    <s v="OD20938"/>
    <d v="2024-07-21T00:00:00"/>
    <x v="6"/>
    <x v="0"/>
    <x v="16"/>
    <x v="3"/>
    <n v="5"/>
    <n v="5531.87"/>
    <n v="0.05"/>
    <x v="2"/>
    <x v="3"/>
    <x v="1"/>
    <n v="26276.38"/>
    <x v="1"/>
  </r>
  <r>
    <s v="OD20939"/>
    <d v="2024-01-13T00:00:00"/>
    <x v="1"/>
    <x v="1"/>
    <x v="10"/>
    <x v="1"/>
    <n v="3"/>
    <n v="5989.39"/>
    <n v="0.05"/>
    <x v="0"/>
    <x v="3"/>
    <x v="1"/>
    <n v="17069.759999999998"/>
    <x v="2"/>
  </r>
  <r>
    <s v="OD20940"/>
    <d v="2024-05-03T00:00:00"/>
    <x v="9"/>
    <x v="3"/>
    <x v="21"/>
    <x v="7"/>
    <n v="4"/>
    <n v="7185.82"/>
    <n v="0.25"/>
    <x v="2"/>
    <x v="4"/>
    <x v="0"/>
    <n v="21557.46"/>
    <x v="1"/>
  </r>
  <r>
    <s v="OD20941"/>
    <d v="2024-03-30T00:00:00"/>
    <x v="7"/>
    <x v="4"/>
    <x v="24"/>
    <x v="4"/>
    <n v="1"/>
    <n v="6544.3"/>
    <n v="0"/>
    <x v="2"/>
    <x v="1"/>
    <x v="1"/>
    <n v="6544.3"/>
    <x v="0"/>
  </r>
  <r>
    <s v="OD20942"/>
    <d v="2024-09-01T00:00:00"/>
    <x v="3"/>
    <x v="1"/>
    <x v="1"/>
    <x v="4"/>
    <n v="1"/>
    <n v="4478.47"/>
    <n v="0.25"/>
    <x v="0"/>
    <x v="0"/>
    <x v="1"/>
    <n v="3358.85"/>
    <x v="0"/>
  </r>
  <r>
    <s v="OD20943"/>
    <d v="2024-06-30T00:00:00"/>
    <x v="11"/>
    <x v="2"/>
    <x v="3"/>
    <x v="1"/>
    <n v="1"/>
    <n v="3755.68"/>
    <n v="0.05"/>
    <x v="0"/>
    <x v="4"/>
    <x v="1"/>
    <n v="3567.9"/>
    <x v="0"/>
  </r>
  <r>
    <s v="OD20944"/>
    <d v="2024-06-25T00:00:00"/>
    <x v="11"/>
    <x v="0"/>
    <x v="17"/>
    <x v="5"/>
    <n v="6"/>
    <n v="1729.67"/>
    <n v="0.15"/>
    <x v="2"/>
    <x v="4"/>
    <x v="0"/>
    <n v="8821.32"/>
    <x v="0"/>
  </r>
  <r>
    <s v="OD20945"/>
    <d v="2024-04-13T00:00:00"/>
    <x v="8"/>
    <x v="3"/>
    <x v="4"/>
    <x v="0"/>
    <n v="2"/>
    <n v="2591.9"/>
    <n v="0"/>
    <x v="2"/>
    <x v="2"/>
    <x v="1"/>
    <n v="5183.8"/>
    <x v="0"/>
  </r>
  <r>
    <s v="OD20946"/>
    <d v="2024-09-16T00:00:00"/>
    <x v="3"/>
    <x v="1"/>
    <x v="9"/>
    <x v="4"/>
    <n v="1"/>
    <n v="1078.44"/>
    <n v="0.05"/>
    <x v="0"/>
    <x v="0"/>
    <x v="1"/>
    <n v="1024.52"/>
    <x v="0"/>
  </r>
  <r>
    <s v="OD20947"/>
    <d v="2024-07-15T00:00:00"/>
    <x v="6"/>
    <x v="2"/>
    <x v="7"/>
    <x v="0"/>
    <n v="3"/>
    <n v="2092.41"/>
    <n v="0.2"/>
    <x v="0"/>
    <x v="3"/>
    <x v="1"/>
    <n v="5021.78"/>
    <x v="0"/>
  </r>
  <r>
    <s v="OD20948"/>
    <d v="2024-07-14T00:00:00"/>
    <x v="6"/>
    <x v="1"/>
    <x v="11"/>
    <x v="0"/>
    <n v="5"/>
    <n v="1610.33"/>
    <n v="0.2"/>
    <x v="0"/>
    <x v="0"/>
    <x v="1"/>
    <n v="6441.32"/>
    <x v="0"/>
  </r>
  <r>
    <s v="OD20949"/>
    <d v="2024-11-06T00:00:00"/>
    <x v="0"/>
    <x v="4"/>
    <x v="22"/>
    <x v="6"/>
    <n v="2"/>
    <n v="4050.22"/>
    <n v="0"/>
    <x v="2"/>
    <x v="0"/>
    <x v="1"/>
    <n v="8100.44"/>
    <x v="0"/>
  </r>
  <r>
    <s v="OD20950"/>
    <d v="2024-06-14T00:00:00"/>
    <x v="11"/>
    <x v="0"/>
    <x v="17"/>
    <x v="2"/>
    <n v="1"/>
    <n v="2879.62"/>
    <n v="0"/>
    <x v="0"/>
    <x v="3"/>
    <x v="1"/>
    <n v="2879.62"/>
    <x v="0"/>
  </r>
  <r>
    <s v="OD20951"/>
    <d v="2024-12-05T00:00:00"/>
    <x v="4"/>
    <x v="0"/>
    <x v="16"/>
    <x v="6"/>
    <n v="2"/>
    <n v="5010.3100000000004"/>
    <n v="0.25"/>
    <x v="0"/>
    <x v="2"/>
    <x v="1"/>
    <n v="7515.47"/>
    <x v="0"/>
  </r>
  <r>
    <s v="OD20952"/>
    <d v="2024-11-20T00:00:00"/>
    <x v="0"/>
    <x v="4"/>
    <x v="6"/>
    <x v="2"/>
    <n v="1"/>
    <n v="870.16"/>
    <n v="0.1"/>
    <x v="3"/>
    <x v="2"/>
    <x v="1"/>
    <n v="783.14"/>
    <x v="0"/>
  </r>
  <r>
    <s v="OD20953"/>
    <d v="2024-05-06T00:00:00"/>
    <x v="9"/>
    <x v="4"/>
    <x v="5"/>
    <x v="5"/>
    <n v="5"/>
    <n v="5726.81"/>
    <n v="0.2"/>
    <x v="2"/>
    <x v="4"/>
    <x v="1"/>
    <n v="22907.24"/>
    <x v="1"/>
  </r>
  <r>
    <s v="OD20954"/>
    <d v="2024-05-06T00:00:00"/>
    <x v="9"/>
    <x v="1"/>
    <x v="18"/>
    <x v="2"/>
    <n v="3"/>
    <n v="7555.24"/>
    <n v="0.25"/>
    <x v="2"/>
    <x v="2"/>
    <x v="1"/>
    <n v="16999.29"/>
    <x v="2"/>
  </r>
  <r>
    <s v="OD20955"/>
    <d v="2024-03-21T00:00:00"/>
    <x v="7"/>
    <x v="0"/>
    <x v="23"/>
    <x v="3"/>
    <n v="6"/>
    <n v="5233.96"/>
    <n v="0.2"/>
    <x v="2"/>
    <x v="3"/>
    <x v="1"/>
    <n v="25123.01"/>
    <x v="1"/>
  </r>
  <r>
    <s v="OD20956"/>
    <d v="2024-01-11T00:00:00"/>
    <x v="1"/>
    <x v="4"/>
    <x v="22"/>
    <x v="5"/>
    <n v="1"/>
    <n v="3488.69"/>
    <n v="0.05"/>
    <x v="2"/>
    <x v="3"/>
    <x v="1"/>
    <n v="3314.26"/>
    <x v="0"/>
  </r>
  <r>
    <s v="OD20957"/>
    <d v="2024-06-15T00:00:00"/>
    <x v="11"/>
    <x v="2"/>
    <x v="2"/>
    <x v="0"/>
    <n v="3"/>
    <n v="422.29"/>
    <n v="0.1"/>
    <x v="0"/>
    <x v="1"/>
    <x v="1"/>
    <n v="1140.18"/>
    <x v="0"/>
  </r>
  <r>
    <s v="OD20958"/>
    <d v="2024-03-05T00:00:00"/>
    <x v="7"/>
    <x v="0"/>
    <x v="0"/>
    <x v="7"/>
    <n v="3"/>
    <n v="3004.09"/>
    <n v="0.2"/>
    <x v="3"/>
    <x v="1"/>
    <x v="1"/>
    <n v="7209.82"/>
    <x v="0"/>
  </r>
  <r>
    <s v="OD20959"/>
    <d v="2024-05-25T00:00:00"/>
    <x v="9"/>
    <x v="3"/>
    <x v="13"/>
    <x v="7"/>
    <n v="1"/>
    <n v="3760.96"/>
    <n v="0.1"/>
    <x v="2"/>
    <x v="1"/>
    <x v="1"/>
    <n v="3384.86"/>
    <x v="0"/>
  </r>
  <r>
    <s v="OD20960"/>
    <d v="2024-10-07T00:00:00"/>
    <x v="5"/>
    <x v="2"/>
    <x v="2"/>
    <x v="7"/>
    <n v="4"/>
    <n v="6142.96"/>
    <n v="0.1"/>
    <x v="0"/>
    <x v="1"/>
    <x v="1"/>
    <n v="22114.66"/>
    <x v="1"/>
  </r>
  <r>
    <s v="OD20961"/>
    <d v="2024-09-17T00:00:00"/>
    <x v="3"/>
    <x v="1"/>
    <x v="11"/>
    <x v="0"/>
    <n v="3"/>
    <n v="7243.16"/>
    <n v="0.05"/>
    <x v="0"/>
    <x v="0"/>
    <x v="0"/>
    <n v="20643.009999999998"/>
    <x v="1"/>
  </r>
  <r>
    <s v="OD20962"/>
    <d v="2024-06-13T00:00:00"/>
    <x v="11"/>
    <x v="2"/>
    <x v="2"/>
    <x v="4"/>
    <n v="6"/>
    <n v="4285.9799999999996"/>
    <n v="0.1"/>
    <x v="3"/>
    <x v="3"/>
    <x v="0"/>
    <n v="23144.29"/>
    <x v="1"/>
  </r>
  <r>
    <s v="OD20963"/>
    <d v="2024-10-19T00:00:00"/>
    <x v="5"/>
    <x v="1"/>
    <x v="18"/>
    <x v="7"/>
    <n v="6"/>
    <n v="4845.8100000000004"/>
    <n v="0"/>
    <x v="1"/>
    <x v="1"/>
    <x v="1"/>
    <n v="29074.86"/>
    <x v="1"/>
  </r>
  <r>
    <s v="OD20964"/>
    <d v="2024-09-27T00:00:00"/>
    <x v="3"/>
    <x v="1"/>
    <x v="18"/>
    <x v="0"/>
    <n v="4"/>
    <n v="1943.27"/>
    <n v="0.25"/>
    <x v="3"/>
    <x v="1"/>
    <x v="1"/>
    <n v="5829.81"/>
    <x v="0"/>
  </r>
  <r>
    <s v="OD20965"/>
    <d v="2024-02-27T00:00:00"/>
    <x v="10"/>
    <x v="4"/>
    <x v="8"/>
    <x v="1"/>
    <n v="6"/>
    <n v="719.52"/>
    <n v="0.25"/>
    <x v="0"/>
    <x v="0"/>
    <x v="1"/>
    <n v="3237.84"/>
    <x v="0"/>
  </r>
  <r>
    <s v="OD20966"/>
    <d v="2024-03-07T00:00:00"/>
    <x v="7"/>
    <x v="3"/>
    <x v="12"/>
    <x v="7"/>
    <n v="4"/>
    <n v="7430.46"/>
    <n v="0.1"/>
    <x v="0"/>
    <x v="4"/>
    <x v="1"/>
    <n v="26749.66"/>
    <x v="1"/>
  </r>
  <r>
    <s v="OD20967"/>
    <d v="2024-02-24T00:00:00"/>
    <x v="10"/>
    <x v="2"/>
    <x v="2"/>
    <x v="1"/>
    <n v="5"/>
    <n v="3489.65"/>
    <n v="0.1"/>
    <x v="3"/>
    <x v="2"/>
    <x v="1"/>
    <n v="15703.43"/>
    <x v="2"/>
  </r>
  <r>
    <s v="OD20968"/>
    <d v="2024-01-30T00:00:00"/>
    <x v="1"/>
    <x v="2"/>
    <x v="20"/>
    <x v="5"/>
    <n v="3"/>
    <n v="979.15"/>
    <n v="0.25"/>
    <x v="0"/>
    <x v="2"/>
    <x v="1"/>
    <n v="2203.09"/>
    <x v="0"/>
  </r>
  <r>
    <s v="OD20969"/>
    <d v="2024-01-21T00:00:00"/>
    <x v="1"/>
    <x v="3"/>
    <x v="4"/>
    <x v="6"/>
    <n v="1"/>
    <n v="3943.45"/>
    <n v="0"/>
    <x v="2"/>
    <x v="0"/>
    <x v="0"/>
    <n v="3943.45"/>
    <x v="0"/>
  </r>
  <r>
    <s v="OD20970"/>
    <d v="2024-07-08T00:00:00"/>
    <x v="6"/>
    <x v="4"/>
    <x v="8"/>
    <x v="0"/>
    <n v="4"/>
    <n v="5864.03"/>
    <n v="0.25"/>
    <x v="0"/>
    <x v="0"/>
    <x v="1"/>
    <n v="17592.09"/>
    <x v="2"/>
  </r>
  <r>
    <s v="OD20971"/>
    <d v="2024-12-08T00:00:00"/>
    <x v="4"/>
    <x v="3"/>
    <x v="21"/>
    <x v="7"/>
    <n v="1"/>
    <n v="1337.67"/>
    <n v="0.05"/>
    <x v="0"/>
    <x v="1"/>
    <x v="1"/>
    <n v="1270.79"/>
    <x v="0"/>
  </r>
  <r>
    <s v="OD20972"/>
    <d v="2024-01-19T00:00:00"/>
    <x v="1"/>
    <x v="0"/>
    <x v="17"/>
    <x v="2"/>
    <n v="1"/>
    <n v="1236.5"/>
    <n v="0"/>
    <x v="1"/>
    <x v="1"/>
    <x v="0"/>
    <n v="1236.5"/>
    <x v="0"/>
  </r>
  <r>
    <s v="OD20973"/>
    <d v="2024-01-23T00:00:00"/>
    <x v="1"/>
    <x v="2"/>
    <x v="19"/>
    <x v="5"/>
    <n v="6"/>
    <n v="6452.16"/>
    <n v="0.2"/>
    <x v="0"/>
    <x v="4"/>
    <x v="1"/>
    <n v="30970.37"/>
    <x v="1"/>
  </r>
  <r>
    <s v="OD20974"/>
    <d v="2024-05-16T00:00:00"/>
    <x v="9"/>
    <x v="0"/>
    <x v="17"/>
    <x v="6"/>
    <n v="2"/>
    <n v="4287.4399999999996"/>
    <n v="0"/>
    <x v="0"/>
    <x v="1"/>
    <x v="1"/>
    <n v="8574.8799999999992"/>
    <x v="0"/>
  </r>
  <r>
    <s v="OD20975"/>
    <d v="2024-06-02T00:00:00"/>
    <x v="11"/>
    <x v="4"/>
    <x v="8"/>
    <x v="6"/>
    <n v="5"/>
    <n v="7951.93"/>
    <n v="0.1"/>
    <x v="0"/>
    <x v="2"/>
    <x v="0"/>
    <n v="35783.69"/>
    <x v="1"/>
  </r>
  <r>
    <s v="OD20976"/>
    <d v="2024-10-08T00:00:00"/>
    <x v="5"/>
    <x v="4"/>
    <x v="8"/>
    <x v="0"/>
    <n v="5"/>
    <n v="6204.44"/>
    <n v="0"/>
    <x v="3"/>
    <x v="4"/>
    <x v="0"/>
    <n v="31022.2"/>
    <x v="1"/>
  </r>
  <r>
    <s v="OD20977"/>
    <d v="2024-06-01T00:00:00"/>
    <x v="11"/>
    <x v="4"/>
    <x v="22"/>
    <x v="5"/>
    <n v="3"/>
    <n v="4840.75"/>
    <n v="0.1"/>
    <x v="2"/>
    <x v="2"/>
    <x v="1"/>
    <n v="13070.02"/>
    <x v="2"/>
  </r>
  <r>
    <s v="OD20978"/>
    <d v="2024-02-03T00:00:00"/>
    <x v="10"/>
    <x v="4"/>
    <x v="8"/>
    <x v="1"/>
    <n v="5"/>
    <n v="3496.55"/>
    <n v="0.1"/>
    <x v="3"/>
    <x v="4"/>
    <x v="1"/>
    <n v="15734.48"/>
    <x v="2"/>
  </r>
  <r>
    <s v="OD20979"/>
    <d v="2024-04-01T00:00:00"/>
    <x v="8"/>
    <x v="4"/>
    <x v="6"/>
    <x v="7"/>
    <n v="5"/>
    <n v="6051.33"/>
    <n v="0.2"/>
    <x v="0"/>
    <x v="2"/>
    <x v="1"/>
    <n v="24205.32"/>
    <x v="1"/>
  </r>
  <r>
    <s v="OD20980"/>
    <d v="2024-11-28T00:00:00"/>
    <x v="0"/>
    <x v="1"/>
    <x v="11"/>
    <x v="5"/>
    <n v="3"/>
    <n v="4321.53"/>
    <n v="0.2"/>
    <x v="1"/>
    <x v="1"/>
    <x v="1"/>
    <n v="10371.67"/>
    <x v="2"/>
  </r>
  <r>
    <s v="OD20981"/>
    <d v="2024-09-14T00:00:00"/>
    <x v="3"/>
    <x v="3"/>
    <x v="4"/>
    <x v="4"/>
    <n v="3"/>
    <n v="3993.38"/>
    <n v="0.25"/>
    <x v="3"/>
    <x v="3"/>
    <x v="1"/>
    <n v="8985.1"/>
    <x v="0"/>
  </r>
  <r>
    <s v="OD20982"/>
    <d v="2024-04-28T00:00:00"/>
    <x v="8"/>
    <x v="2"/>
    <x v="7"/>
    <x v="6"/>
    <n v="2"/>
    <n v="7204.78"/>
    <n v="0.25"/>
    <x v="2"/>
    <x v="1"/>
    <x v="1"/>
    <n v="10807.17"/>
    <x v="2"/>
  </r>
  <r>
    <s v="OD20983"/>
    <d v="2024-02-25T00:00:00"/>
    <x v="10"/>
    <x v="1"/>
    <x v="10"/>
    <x v="6"/>
    <n v="5"/>
    <n v="7808.24"/>
    <n v="0.1"/>
    <x v="0"/>
    <x v="0"/>
    <x v="1"/>
    <n v="35137.08"/>
    <x v="1"/>
  </r>
  <r>
    <s v="OD20984"/>
    <d v="2024-10-04T00:00:00"/>
    <x v="5"/>
    <x v="3"/>
    <x v="4"/>
    <x v="6"/>
    <n v="2"/>
    <n v="2020.28"/>
    <n v="0.15"/>
    <x v="0"/>
    <x v="2"/>
    <x v="1"/>
    <n v="3434.48"/>
    <x v="0"/>
  </r>
  <r>
    <s v="OD20985"/>
    <d v="2024-01-13T00:00:00"/>
    <x v="1"/>
    <x v="0"/>
    <x v="0"/>
    <x v="5"/>
    <n v="3"/>
    <n v="506.04"/>
    <n v="0"/>
    <x v="0"/>
    <x v="1"/>
    <x v="1"/>
    <n v="1518.12"/>
    <x v="0"/>
  </r>
  <r>
    <s v="OD20986"/>
    <d v="2024-06-08T00:00:00"/>
    <x v="11"/>
    <x v="3"/>
    <x v="12"/>
    <x v="6"/>
    <n v="6"/>
    <n v="890.89"/>
    <n v="0.05"/>
    <x v="0"/>
    <x v="0"/>
    <x v="0"/>
    <n v="5078.07"/>
    <x v="0"/>
  </r>
  <r>
    <s v="OD20987"/>
    <d v="2024-02-29T00:00:00"/>
    <x v="10"/>
    <x v="3"/>
    <x v="13"/>
    <x v="5"/>
    <n v="6"/>
    <n v="2717.66"/>
    <n v="0.05"/>
    <x v="2"/>
    <x v="0"/>
    <x v="1"/>
    <n v="15490.66"/>
    <x v="2"/>
  </r>
  <r>
    <s v="OD20988"/>
    <d v="2024-06-07T00:00:00"/>
    <x v="11"/>
    <x v="1"/>
    <x v="9"/>
    <x v="7"/>
    <n v="3"/>
    <n v="6946.6"/>
    <n v="0"/>
    <x v="0"/>
    <x v="4"/>
    <x v="1"/>
    <n v="20839.8"/>
    <x v="1"/>
  </r>
  <r>
    <s v="OD20989"/>
    <d v="2024-03-21T00:00:00"/>
    <x v="7"/>
    <x v="1"/>
    <x v="10"/>
    <x v="4"/>
    <n v="1"/>
    <n v="3726.26"/>
    <n v="0"/>
    <x v="0"/>
    <x v="2"/>
    <x v="1"/>
    <n v="3726.26"/>
    <x v="0"/>
  </r>
  <r>
    <s v="OD20990"/>
    <d v="2024-10-11T00:00:00"/>
    <x v="5"/>
    <x v="0"/>
    <x v="15"/>
    <x v="2"/>
    <n v="6"/>
    <n v="2706.34"/>
    <n v="0.2"/>
    <x v="0"/>
    <x v="2"/>
    <x v="1"/>
    <n v="12990.43"/>
    <x v="2"/>
  </r>
  <r>
    <s v="OD20991"/>
    <d v="2024-09-30T00:00:00"/>
    <x v="3"/>
    <x v="2"/>
    <x v="20"/>
    <x v="7"/>
    <n v="4"/>
    <n v="731.65"/>
    <n v="0.2"/>
    <x v="3"/>
    <x v="2"/>
    <x v="1"/>
    <n v="2341.2800000000002"/>
    <x v="0"/>
  </r>
  <r>
    <s v="OD20992"/>
    <d v="2024-09-12T00:00:00"/>
    <x v="3"/>
    <x v="3"/>
    <x v="21"/>
    <x v="6"/>
    <n v="6"/>
    <n v="6152.75"/>
    <n v="0.2"/>
    <x v="0"/>
    <x v="0"/>
    <x v="1"/>
    <n v="29533.200000000001"/>
    <x v="1"/>
  </r>
  <r>
    <s v="OD20993"/>
    <d v="2024-01-25T00:00:00"/>
    <x v="1"/>
    <x v="4"/>
    <x v="22"/>
    <x v="2"/>
    <n v="2"/>
    <n v="6796.24"/>
    <n v="0.15"/>
    <x v="0"/>
    <x v="1"/>
    <x v="1"/>
    <n v="11553.61"/>
    <x v="2"/>
  </r>
  <r>
    <s v="OD20994"/>
    <d v="2024-09-05T00:00:00"/>
    <x v="3"/>
    <x v="1"/>
    <x v="9"/>
    <x v="7"/>
    <n v="1"/>
    <n v="2784.89"/>
    <n v="0"/>
    <x v="0"/>
    <x v="0"/>
    <x v="0"/>
    <n v="2784.89"/>
    <x v="0"/>
  </r>
  <r>
    <s v="OD20995"/>
    <d v="2024-08-09T00:00:00"/>
    <x v="2"/>
    <x v="4"/>
    <x v="5"/>
    <x v="7"/>
    <n v="1"/>
    <n v="283.52"/>
    <n v="0"/>
    <x v="1"/>
    <x v="1"/>
    <x v="1"/>
    <n v="283.52"/>
    <x v="0"/>
  </r>
  <r>
    <s v="OD20996"/>
    <d v="2024-11-18T00:00:00"/>
    <x v="0"/>
    <x v="4"/>
    <x v="6"/>
    <x v="0"/>
    <n v="2"/>
    <n v="4678.59"/>
    <n v="0.15"/>
    <x v="0"/>
    <x v="4"/>
    <x v="1"/>
    <n v="7953.6"/>
    <x v="0"/>
  </r>
  <r>
    <s v="OD20997"/>
    <d v="2024-04-11T00:00:00"/>
    <x v="8"/>
    <x v="1"/>
    <x v="1"/>
    <x v="0"/>
    <n v="1"/>
    <n v="6966.19"/>
    <n v="0.15"/>
    <x v="0"/>
    <x v="4"/>
    <x v="1"/>
    <n v="5921.26"/>
    <x v="0"/>
  </r>
  <r>
    <s v="OD20998"/>
    <d v="2024-03-26T00:00:00"/>
    <x v="7"/>
    <x v="1"/>
    <x v="1"/>
    <x v="0"/>
    <n v="4"/>
    <n v="3776.96"/>
    <n v="0"/>
    <x v="0"/>
    <x v="1"/>
    <x v="0"/>
    <n v="15107.84"/>
    <x v="2"/>
  </r>
  <r>
    <s v="OD20999"/>
    <d v="2024-01-28T00:00:00"/>
    <x v="1"/>
    <x v="2"/>
    <x v="7"/>
    <x v="4"/>
    <n v="4"/>
    <n v="1467.63"/>
    <n v="0.05"/>
    <x v="3"/>
    <x v="4"/>
    <x v="1"/>
    <n v="5576.99"/>
    <x v="0"/>
  </r>
  <r>
    <s v="OD21000"/>
    <d v="2024-08-24T00:00:00"/>
    <x v="2"/>
    <x v="4"/>
    <x v="8"/>
    <x v="1"/>
    <n v="3"/>
    <n v="577.57000000000005"/>
    <n v="0.2"/>
    <x v="1"/>
    <x v="2"/>
    <x v="1"/>
    <n v="1386.17"/>
    <x v="0"/>
  </r>
  <r>
    <s v="OD21001"/>
    <d v="2024-02-22T00:00:00"/>
    <x v="10"/>
    <x v="1"/>
    <x v="1"/>
    <x v="4"/>
    <n v="2"/>
    <n v="5760.87"/>
    <n v="0"/>
    <x v="2"/>
    <x v="2"/>
    <x v="1"/>
    <n v="11521.74"/>
    <x v="2"/>
  </r>
  <r>
    <s v="OD21002"/>
    <d v="2024-09-04T00:00:00"/>
    <x v="3"/>
    <x v="0"/>
    <x v="0"/>
    <x v="4"/>
    <n v="2"/>
    <n v="1543.41"/>
    <n v="0.1"/>
    <x v="2"/>
    <x v="4"/>
    <x v="1"/>
    <n v="2778.14"/>
    <x v="0"/>
  </r>
  <r>
    <s v="OD21003"/>
    <d v="2024-03-19T00:00:00"/>
    <x v="7"/>
    <x v="0"/>
    <x v="16"/>
    <x v="4"/>
    <n v="3"/>
    <n v="6528.12"/>
    <n v="0"/>
    <x v="0"/>
    <x v="3"/>
    <x v="1"/>
    <n v="19584.36"/>
    <x v="2"/>
  </r>
  <r>
    <s v="OD21004"/>
    <d v="2024-03-18T00:00:00"/>
    <x v="7"/>
    <x v="1"/>
    <x v="10"/>
    <x v="3"/>
    <n v="3"/>
    <n v="3997.75"/>
    <n v="0.1"/>
    <x v="0"/>
    <x v="2"/>
    <x v="1"/>
    <n v="10793.93"/>
    <x v="2"/>
  </r>
  <r>
    <s v="OD21005"/>
    <d v="2024-01-20T00:00:00"/>
    <x v="1"/>
    <x v="2"/>
    <x v="19"/>
    <x v="5"/>
    <n v="5"/>
    <n v="3488.18"/>
    <n v="0.1"/>
    <x v="3"/>
    <x v="3"/>
    <x v="1"/>
    <n v="15696.81"/>
    <x v="2"/>
  </r>
  <r>
    <s v="OD21006"/>
    <d v="2024-08-10T00:00:00"/>
    <x v="2"/>
    <x v="0"/>
    <x v="15"/>
    <x v="1"/>
    <n v="6"/>
    <n v="301.77999999999997"/>
    <n v="0.1"/>
    <x v="1"/>
    <x v="4"/>
    <x v="1"/>
    <n v="1629.61"/>
    <x v="0"/>
  </r>
  <r>
    <s v="OD21007"/>
    <d v="2024-08-28T00:00:00"/>
    <x v="2"/>
    <x v="2"/>
    <x v="2"/>
    <x v="7"/>
    <n v="3"/>
    <n v="3571.7"/>
    <n v="0.1"/>
    <x v="0"/>
    <x v="4"/>
    <x v="0"/>
    <n v="9643.59"/>
    <x v="0"/>
  </r>
  <r>
    <s v="OD21008"/>
    <d v="2024-03-06T00:00:00"/>
    <x v="7"/>
    <x v="1"/>
    <x v="9"/>
    <x v="1"/>
    <n v="5"/>
    <n v="2163.9699999999998"/>
    <n v="0.1"/>
    <x v="3"/>
    <x v="2"/>
    <x v="0"/>
    <n v="9737.86"/>
    <x v="0"/>
  </r>
  <r>
    <s v="OD21009"/>
    <d v="2024-01-17T00:00:00"/>
    <x v="1"/>
    <x v="0"/>
    <x v="16"/>
    <x v="0"/>
    <n v="4"/>
    <n v="4703.79"/>
    <n v="0.1"/>
    <x v="1"/>
    <x v="4"/>
    <x v="1"/>
    <n v="16933.64"/>
    <x v="2"/>
  </r>
  <r>
    <s v="OD21010"/>
    <d v="2024-10-13T00:00:00"/>
    <x v="5"/>
    <x v="1"/>
    <x v="10"/>
    <x v="5"/>
    <n v="6"/>
    <n v="5380.66"/>
    <n v="0.25"/>
    <x v="1"/>
    <x v="4"/>
    <x v="1"/>
    <n v="24212.97"/>
    <x v="1"/>
  </r>
  <r>
    <s v="OD21011"/>
    <d v="2024-12-01T00:00:00"/>
    <x v="4"/>
    <x v="2"/>
    <x v="2"/>
    <x v="3"/>
    <n v="1"/>
    <n v="6609.63"/>
    <n v="0.25"/>
    <x v="0"/>
    <x v="4"/>
    <x v="0"/>
    <n v="4957.22"/>
    <x v="0"/>
  </r>
  <r>
    <s v="OD21012"/>
    <d v="2024-04-12T00:00:00"/>
    <x v="8"/>
    <x v="3"/>
    <x v="14"/>
    <x v="5"/>
    <n v="2"/>
    <n v="6399.1"/>
    <n v="0"/>
    <x v="0"/>
    <x v="4"/>
    <x v="1"/>
    <n v="12798.2"/>
    <x v="2"/>
  </r>
  <r>
    <s v="OD21013"/>
    <d v="2024-12-29T00:00:00"/>
    <x v="4"/>
    <x v="3"/>
    <x v="14"/>
    <x v="2"/>
    <n v="5"/>
    <n v="2444.89"/>
    <n v="0.25"/>
    <x v="2"/>
    <x v="4"/>
    <x v="0"/>
    <n v="9168.34"/>
    <x v="0"/>
  </r>
  <r>
    <s v="OD21014"/>
    <d v="2024-08-09T00:00:00"/>
    <x v="2"/>
    <x v="2"/>
    <x v="19"/>
    <x v="6"/>
    <n v="3"/>
    <n v="5795.82"/>
    <n v="0.15"/>
    <x v="0"/>
    <x v="4"/>
    <x v="1"/>
    <n v="14779.34"/>
    <x v="2"/>
  </r>
  <r>
    <s v="OD21015"/>
    <d v="2024-12-03T00:00:00"/>
    <x v="4"/>
    <x v="1"/>
    <x v="1"/>
    <x v="6"/>
    <n v="1"/>
    <n v="566.46"/>
    <n v="0"/>
    <x v="1"/>
    <x v="3"/>
    <x v="0"/>
    <n v="566.46"/>
    <x v="0"/>
  </r>
  <r>
    <s v="OD21016"/>
    <d v="2024-02-10T00:00:00"/>
    <x v="10"/>
    <x v="3"/>
    <x v="13"/>
    <x v="4"/>
    <n v="1"/>
    <n v="6639.11"/>
    <n v="0"/>
    <x v="0"/>
    <x v="2"/>
    <x v="1"/>
    <n v="6639.11"/>
    <x v="0"/>
  </r>
  <r>
    <s v="OD21017"/>
    <d v="2024-12-31T00:00:00"/>
    <x v="4"/>
    <x v="3"/>
    <x v="12"/>
    <x v="6"/>
    <n v="5"/>
    <n v="2242.09"/>
    <n v="0.25"/>
    <x v="0"/>
    <x v="0"/>
    <x v="1"/>
    <n v="8407.84"/>
    <x v="0"/>
  </r>
  <r>
    <s v="OD21018"/>
    <d v="2024-10-06T00:00:00"/>
    <x v="5"/>
    <x v="4"/>
    <x v="6"/>
    <x v="1"/>
    <n v="5"/>
    <n v="2780.04"/>
    <n v="0.1"/>
    <x v="0"/>
    <x v="0"/>
    <x v="1"/>
    <n v="12510.18"/>
    <x v="2"/>
  </r>
  <r>
    <s v="OD21019"/>
    <d v="2024-12-27T00:00:00"/>
    <x v="4"/>
    <x v="4"/>
    <x v="24"/>
    <x v="4"/>
    <n v="1"/>
    <n v="5513.97"/>
    <n v="0"/>
    <x v="0"/>
    <x v="2"/>
    <x v="0"/>
    <n v="5513.97"/>
    <x v="0"/>
  </r>
  <r>
    <s v="OD21020"/>
    <d v="2024-04-05T00:00:00"/>
    <x v="8"/>
    <x v="3"/>
    <x v="12"/>
    <x v="6"/>
    <n v="4"/>
    <n v="4092.66"/>
    <n v="0.1"/>
    <x v="2"/>
    <x v="3"/>
    <x v="1"/>
    <n v="14733.58"/>
    <x v="2"/>
  </r>
  <r>
    <s v="OD21021"/>
    <d v="2024-10-23T00:00:00"/>
    <x v="5"/>
    <x v="3"/>
    <x v="14"/>
    <x v="0"/>
    <n v="4"/>
    <n v="7699.36"/>
    <n v="0.1"/>
    <x v="0"/>
    <x v="4"/>
    <x v="1"/>
    <n v="27717.7"/>
    <x v="1"/>
  </r>
  <r>
    <s v="OD21022"/>
    <d v="2024-09-08T00:00:00"/>
    <x v="3"/>
    <x v="0"/>
    <x v="17"/>
    <x v="6"/>
    <n v="1"/>
    <n v="1729.5"/>
    <n v="0.25"/>
    <x v="0"/>
    <x v="4"/>
    <x v="1"/>
    <n v="1297.1199999999999"/>
    <x v="0"/>
  </r>
  <r>
    <s v="OD21023"/>
    <d v="2024-10-06T00:00:00"/>
    <x v="5"/>
    <x v="3"/>
    <x v="21"/>
    <x v="7"/>
    <n v="1"/>
    <n v="7165.33"/>
    <n v="0.1"/>
    <x v="1"/>
    <x v="4"/>
    <x v="1"/>
    <n v="6448.8"/>
    <x v="0"/>
  </r>
  <r>
    <s v="OD21024"/>
    <d v="2024-04-02T00:00:00"/>
    <x v="8"/>
    <x v="4"/>
    <x v="6"/>
    <x v="1"/>
    <n v="2"/>
    <n v="5071.8900000000003"/>
    <n v="0.25"/>
    <x v="0"/>
    <x v="0"/>
    <x v="1"/>
    <n v="7607.84"/>
    <x v="0"/>
  </r>
  <r>
    <s v="OD21025"/>
    <d v="2024-06-23T00:00:00"/>
    <x v="11"/>
    <x v="4"/>
    <x v="8"/>
    <x v="0"/>
    <n v="4"/>
    <n v="5042.3599999999997"/>
    <n v="0.1"/>
    <x v="3"/>
    <x v="1"/>
    <x v="1"/>
    <n v="18152.5"/>
    <x v="2"/>
  </r>
  <r>
    <s v="OD21026"/>
    <d v="2024-09-05T00:00:00"/>
    <x v="3"/>
    <x v="0"/>
    <x v="23"/>
    <x v="0"/>
    <n v="3"/>
    <n v="6958.05"/>
    <n v="0.05"/>
    <x v="0"/>
    <x v="0"/>
    <x v="1"/>
    <n v="19830.439999999999"/>
    <x v="2"/>
  </r>
  <r>
    <s v="OD21027"/>
    <d v="2024-06-05T00:00:00"/>
    <x v="11"/>
    <x v="4"/>
    <x v="5"/>
    <x v="6"/>
    <n v="1"/>
    <n v="1229.2"/>
    <n v="0.2"/>
    <x v="2"/>
    <x v="0"/>
    <x v="0"/>
    <n v="983.36"/>
    <x v="0"/>
  </r>
  <r>
    <s v="OD21028"/>
    <d v="2024-05-17T00:00:00"/>
    <x v="9"/>
    <x v="4"/>
    <x v="5"/>
    <x v="0"/>
    <n v="6"/>
    <n v="4354.05"/>
    <n v="0.1"/>
    <x v="1"/>
    <x v="3"/>
    <x v="1"/>
    <n v="23511.87"/>
    <x v="1"/>
  </r>
  <r>
    <s v="OD21029"/>
    <d v="2024-12-20T00:00:00"/>
    <x v="4"/>
    <x v="1"/>
    <x v="18"/>
    <x v="1"/>
    <n v="4"/>
    <n v="1191.95"/>
    <n v="0.15"/>
    <x v="0"/>
    <x v="1"/>
    <x v="1"/>
    <n v="4052.63"/>
    <x v="0"/>
  </r>
  <r>
    <s v="OD21030"/>
    <d v="2024-11-01T00:00:00"/>
    <x v="0"/>
    <x v="2"/>
    <x v="20"/>
    <x v="4"/>
    <n v="3"/>
    <n v="3155.56"/>
    <n v="0.1"/>
    <x v="1"/>
    <x v="2"/>
    <x v="1"/>
    <n v="8520.01"/>
    <x v="0"/>
  </r>
  <r>
    <s v="OD21031"/>
    <d v="2024-07-20T00:00:00"/>
    <x v="6"/>
    <x v="2"/>
    <x v="3"/>
    <x v="6"/>
    <n v="1"/>
    <n v="7862.46"/>
    <n v="0.25"/>
    <x v="2"/>
    <x v="1"/>
    <x v="1"/>
    <n v="5896.85"/>
    <x v="0"/>
  </r>
  <r>
    <s v="OD21032"/>
    <d v="2024-06-02T00:00:00"/>
    <x v="11"/>
    <x v="1"/>
    <x v="9"/>
    <x v="3"/>
    <n v="1"/>
    <n v="1375.18"/>
    <n v="0"/>
    <x v="0"/>
    <x v="1"/>
    <x v="1"/>
    <n v="1375.18"/>
    <x v="0"/>
  </r>
  <r>
    <s v="OD21033"/>
    <d v="2024-03-01T00:00:00"/>
    <x v="7"/>
    <x v="4"/>
    <x v="8"/>
    <x v="4"/>
    <n v="4"/>
    <n v="1384.66"/>
    <n v="0"/>
    <x v="0"/>
    <x v="1"/>
    <x v="0"/>
    <n v="5538.64"/>
    <x v="0"/>
  </r>
  <r>
    <s v="OD21034"/>
    <d v="2024-06-13T00:00:00"/>
    <x v="11"/>
    <x v="1"/>
    <x v="1"/>
    <x v="5"/>
    <n v="1"/>
    <n v="5415.1"/>
    <n v="0.1"/>
    <x v="0"/>
    <x v="4"/>
    <x v="1"/>
    <n v="4873.59"/>
    <x v="0"/>
  </r>
  <r>
    <s v="OD21035"/>
    <d v="2024-06-09T00:00:00"/>
    <x v="11"/>
    <x v="3"/>
    <x v="14"/>
    <x v="4"/>
    <n v="4"/>
    <n v="7206.62"/>
    <n v="0.1"/>
    <x v="1"/>
    <x v="0"/>
    <x v="1"/>
    <n v="25943.83"/>
    <x v="1"/>
  </r>
  <r>
    <s v="OD21036"/>
    <d v="2024-12-21T00:00:00"/>
    <x v="4"/>
    <x v="2"/>
    <x v="3"/>
    <x v="1"/>
    <n v="2"/>
    <n v="3642.13"/>
    <n v="0.25"/>
    <x v="1"/>
    <x v="2"/>
    <x v="1"/>
    <n v="5463.19"/>
    <x v="0"/>
  </r>
  <r>
    <s v="OD21037"/>
    <d v="2024-01-07T00:00:00"/>
    <x v="1"/>
    <x v="4"/>
    <x v="6"/>
    <x v="4"/>
    <n v="3"/>
    <n v="601.30999999999995"/>
    <n v="0.1"/>
    <x v="2"/>
    <x v="1"/>
    <x v="1"/>
    <n v="1623.54"/>
    <x v="0"/>
  </r>
  <r>
    <s v="OD21038"/>
    <d v="2024-04-09T00:00:00"/>
    <x v="8"/>
    <x v="4"/>
    <x v="8"/>
    <x v="5"/>
    <n v="1"/>
    <n v="3620.72"/>
    <n v="0.15"/>
    <x v="2"/>
    <x v="0"/>
    <x v="1"/>
    <n v="3077.61"/>
    <x v="0"/>
  </r>
  <r>
    <s v="OD21039"/>
    <d v="2024-12-14T00:00:00"/>
    <x v="4"/>
    <x v="2"/>
    <x v="19"/>
    <x v="3"/>
    <n v="4"/>
    <n v="2729.83"/>
    <n v="0.1"/>
    <x v="2"/>
    <x v="0"/>
    <x v="0"/>
    <n v="9827.39"/>
    <x v="0"/>
  </r>
  <r>
    <s v="OD21040"/>
    <d v="2024-05-31T00:00:00"/>
    <x v="9"/>
    <x v="2"/>
    <x v="19"/>
    <x v="7"/>
    <n v="1"/>
    <n v="6042.73"/>
    <n v="0"/>
    <x v="2"/>
    <x v="1"/>
    <x v="1"/>
    <n v="6042.73"/>
    <x v="0"/>
  </r>
  <r>
    <s v="OD21041"/>
    <d v="2024-03-22T00:00:00"/>
    <x v="7"/>
    <x v="2"/>
    <x v="2"/>
    <x v="6"/>
    <n v="4"/>
    <n v="2149.64"/>
    <n v="0.2"/>
    <x v="0"/>
    <x v="1"/>
    <x v="1"/>
    <n v="6878.85"/>
    <x v="0"/>
  </r>
  <r>
    <s v="OD21042"/>
    <d v="2024-04-07T00:00:00"/>
    <x v="8"/>
    <x v="4"/>
    <x v="22"/>
    <x v="7"/>
    <n v="4"/>
    <n v="7337.5"/>
    <n v="0"/>
    <x v="3"/>
    <x v="0"/>
    <x v="1"/>
    <n v="29350"/>
    <x v="1"/>
  </r>
  <r>
    <s v="OD21043"/>
    <d v="2024-05-31T00:00:00"/>
    <x v="9"/>
    <x v="1"/>
    <x v="10"/>
    <x v="2"/>
    <n v="4"/>
    <n v="2047.72"/>
    <n v="0"/>
    <x v="1"/>
    <x v="1"/>
    <x v="0"/>
    <n v="8190.88"/>
    <x v="0"/>
  </r>
  <r>
    <s v="OD21044"/>
    <d v="2024-11-21T00:00:00"/>
    <x v="0"/>
    <x v="3"/>
    <x v="12"/>
    <x v="3"/>
    <n v="2"/>
    <n v="2441.16"/>
    <n v="0.15"/>
    <x v="1"/>
    <x v="2"/>
    <x v="0"/>
    <n v="4149.97"/>
    <x v="0"/>
  </r>
  <r>
    <s v="OD21045"/>
    <d v="2024-10-16T00:00:00"/>
    <x v="5"/>
    <x v="0"/>
    <x v="0"/>
    <x v="0"/>
    <n v="6"/>
    <n v="1075.74"/>
    <n v="0"/>
    <x v="0"/>
    <x v="2"/>
    <x v="1"/>
    <n v="6454.44"/>
    <x v="0"/>
  </r>
  <r>
    <s v="OD21046"/>
    <d v="2024-12-19T00:00:00"/>
    <x v="4"/>
    <x v="2"/>
    <x v="20"/>
    <x v="5"/>
    <n v="1"/>
    <n v="577.75"/>
    <n v="0.1"/>
    <x v="0"/>
    <x v="0"/>
    <x v="1"/>
    <n v="519.98"/>
    <x v="0"/>
  </r>
  <r>
    <s v="OD21047"/>
    <d v="2024-08-02T00:00:00"/>
    <x v="2"/>
    <x v="3"/>
    <x v="14"/>
    <x v="2"/>
    <n v="3"/>
    <n v="4449.0200000000004"/>
    <n v="0.1"/>
    <x v="0"/>
    <x v="0"/>
    <x v="1"/>
    <n v="12012.35"/>
    <x v="2"/>
  </r>
  <r>
    <s v="OD21048"/>
    <d v="2024-06-13T00:00:00"/>
    <x v="11"/>
    <x v="0"/>
    <x v="16"/>
    <x v="1"/>
    <n v="3"/>
    <n v="5969.1"/>
    <n v="0"/>
    <x v="2"/>
    <x v="4"/>
    <x v="1"/>
    <n v="17907.3"/>
    <x v="2"/>
  </r>
  <r>
    <s v="OD21049"/>
    <d v="2024-12-10T00:00:00"/>
    <x v="4"/>
    <x v="1"/>
    <x v="1"/>
    <x v="3"/>
    <n v="5"/>
    <n v="3317.63"/>
    <n v="0.05"/>
    <x v="1"/>
    <x v="1"/>
    <x v="1"/>
    <n v="15758.74"/>
    <x v="2"/>
  </r>
  <r>
    <s v="OD21050"/>
    <d v="2024-08-22T00:00:00"/>
    <x v="2"/>
    <x v="3"/>
    <x v="12"/>
    <x v="2"/>
    <n v="4"/>
    <n v="4816.82"/>
    <n v="0.15"/>
    <x v="0"/>
    <x v="0"/>
    <x v="1"/>
    <n v="16377.19"/>
    <x v="2"/>
  </r>
  <r>
    <s v="OD21051"/>
    <d v="2024-10-12T00:00:00"/>
    <x v="5"/>
    <x v="1"/>
    <x v="11"/>
    <x v="1"/>
    <n v="4"/>
    <n v="5622.4"/>
    <n v="0"/>
    <x v="0"/>
    <x v="2"/>
    <x v="1"/>
    <n v="22489.599999999999"/>
    <x v="1"/>
  </r>
  <r>
    <s v="OD21052"/>
    <d v="2024-11-02T00:00:00"/>
    <x v="0"/>
    <x v="1"/>
    <x v="9"/>
    <x v="3"/>
    <n v="2"/>
    <n v="2320.3000000000002"/>
    <n v="0.15"/>
    <x v="0"/>
    <x v="4"/>
    <x v="0"/>
    <n v="4640.4500000000007"/>
    <x v="0"/>
  </r>
  <r>
    <s v="OD21053"/>
    <d v="2024-04-28T00:00:00"/>
    <x v="8"/>
    <x v="1"/>
    <x v="18"/>
    <x v="1"/>
    <n v="1"/>
    <n v="5684.12"/>
    <n v="0.25"/>
    <x v="3"/>
    <x v="3"/>
    <x v="1"/>
    <n v="4263.09"/>
    <x v="0"/>
  </r>
  <r>
    <s v="OD21054"/>
    <d v="2024-11-03T00:00:00"/>
    <x v="0"/>
    <x v="0"/>
    <x v="0"/>
    <x v="7"/>
    <n v="2"/>
    <n v="3952.33"/>
    <n v="0.25"/>
    <x v="0"/>
    <x v="1"/>
    <x v="1"/>
    <n v="5928.49"/>
    <x v="0"/>
  </r>
  <r>
    <s v="OD21055"/>
    <d v="2024-10-24T00:00:00"/>
    <x v="5"/>
    <x v="3"/>
    <x v="21"/>
    <x v="6"/>
    <n v="6"/>
    <n v="1676.76"/>
    <n v="0.25"/>
    <x v="2"/>
    <x v="0"/>
    <x v="0"/>
    <n v="7545.42"/>
    <x v="0"/>
  </r>
  <r>
    <s v="OD21056"/>
    <d v="2024-06-02T00:00:00"/>
    <x v="11"/>
    <x v="4"/>
    <x v="24"/>
    <x v="1"/>
    <n v="2"/>
    <n v="1366.58"/>
    <n v="0.05"/>
    <x v="2"/>
    <x v="4"/>
    <x v="1"/>
    <n v="2596.5"/>
    <x v="0"/>
  </r>
  <r>
    <s v="OD21057"/>
    <d v="2024-03-30T00:00:00"/>
    <x v="7"/>
    <x v="4"/>
    <x v="6"/>
    <x v="4"/>
    <n v="3"/>
    <n v="3140.21"/>
    <n v="0.1"/>
    <x v="0"/>
    <x v="2"/>
    <x v="1"/>
    <n v="8478.57"/>
    <x v="0"/>
  </r>
  <r>
    <s v="OD21058"/>
    <d v="2024-03-20T00:00:00"/>
    <x v="7"/>
    <x v="4"/>
    <x v="24"/>
    <x v="3"/>
    <n v="3"/>
    <n v="7731.78"/>
    <n v="0"/>
    <x v="1"/>
    <x v="4"/>
    <x v="0"/>
    <n v="23195.34"/>
    <x v="1"/>
  </r>
  <r>
    <s v="OD21059"/>
    <d v="2024-02-21T00:00:00"/>
    <x v="10"/>
    <x v="1"/>
    <x v="18"/>
    <x v="5"/>
    <n v="2"/>
    <n v="4780.33"/>
    <n v="0.25"/>
    <x v="0"/>
    <x v="1"/>
    <x v="1"/>
    <n v="9560.41"/>
    <x v="0"/>
  </r>
  <r>
    <s v="OD21060"/>
    <d v="2024-05-17T00:00:00"/>
    <x v="9"/>
    <x v="0"/>
    <x v="0"/>
    <x v="0"/>
    <n v="4"/>
    <n v="3054.44"/>
    <n v="0.05"/>
    <x v="0"/>
    <x v="2"/>
    <x v="1"/>
    <n v="11606.87"/>
    <x v="2"/>
  </r>
  <r>
    <s v="OD21061"/>
    <d v="2024-03-20T00:00:00"/>
    <x v="7"/>
    <x v="4"/>
    <x v="6"/>
    <x v="2"/>
    <n v="4"/>
    <n v="6394.9"/>
    <n v="0.1"/>
    <x v="2"/>
    <x v="3"/>
    <x v="1"/>
    <n v="23021.64"/>
    <x v="1"/>
  </r>
  <r>
    <s v="OD21062"/>
    <d v="2024-12-08T00:00:00"/>
    <x v="4"/>
    <x v="1"/>
    <x v="9"/>
    <x v="3"/>
    <n v="4"/>
    <n v="3182.52"/>
    <n v="0.2"/>
    <x v="0"/>
    <x v="4"/>
    <x v="1"/>
    <n v="10184.06"/>
    <x v="2"/>
  </r>
  <r>
    <s v="OD21063"/>
    <d v="2024-01-17T00:00:00"/>
    <x v="1"/>
    <x v="4"/>
    <x v="8"/>
    <x v="6"/>
    <n v="5"/>
    <n v="6399.61"/>
    <n v="0.1"/>
    <x v="0"/>
    <x v="2"/>
    <x v="0"/>
    <n v="28798.240000000002"/>
    <x v="1"/>
  </r>
  <r>
    <s v="OD21064"/>
    <d v="2024-10-31T00:00:00"/>
    <x v="5"/>
    <x v="1"/>
    <x v="1"/>
    <x v="2"/>
    <n v="4"/>
    <n v="253.08"/>
    <n v="0.15"/>
    <x v="1"/>
    <x v="1"/>
    <x v="1"/>
    <n v="860.47"/>
    <x v="0"/>
  </r>
  <r>
    <s v="OD21065"/>
    <d v="2024-03-18T00:00:00"/>
    <x v="7"/>
    <x v="2"/>
    <x v="19"/>
    <x v="4"/>
    <n v="5"/>
    <n v="1883.75"/>
    <n v="0"/>
    <x v="0"/>
    <x v="1"/>
    <x v="0"/>
    <n v="9418.75"/>
    <x v="0"/>
  </r>
  <r>
    <s v="OD21066"/>
    <d v="2024-06-06T00:00:00"/>
    <x v="11"/>
    <x v="3"/>
    <x v="13"/>
    <x v="1"/>
    <n v="3"/>
    <n v="5310.87"/>
    <n v="0.05"/>
    <x v="2"/>
    <x v="4"/>
    <x v="1"/>
    <n v="15135.98"/>
    <x v="2"/>
  </r>
  <r>
    <s v="OD21067"/>
    <d v="2024-07-09T00:00:00"/>
    <x v="6"/>
    <x v="4"/>
    <x v="6"/>
    <x v="4"/>
    <n v="3"/>
    <n v="6843.88"/>
    <n v="0.2"/>
    <x v="0"/>
    <x v="2"/>
    <x v="1"/>
    <n v="16425.310000000001"/>
    <x v="2"/>
  </r>
  <r>
    <s v="OD21068"/>
    <d v="2024-02-08T00:00:00"/>
    <x v="10"/>
    <x v="0"/>
    <x v="17"/>
    <x v="2"/>
    <n v="2"/>
    <n v="2322.0100000000002"/>
    <n v="0.1"/>
    <x v="0"/>
    <x v="2"/>
    <x v="1"/>
    <n v="4179.62"/>
    <x v="0"/>
  </r>
  <r>
    <s v="OD21069"/>
    <d v="2024-12-18T00:00:00"/>
    <x v="4"/>
    <x v="3"/>
    <x v="12"/>
    <x v="0"/>
    <n v="6"/>
    <n v="6109.74"/>
    <n v="0.1"/>
    <x v="0"/>
    <x v="3"/>
    <x v="0"/>
    <n v="32992.6"/>
    <x v="1"/>
  </r>
  <r>
    <s v="OD21070"/>
    <d v="2024-06-22T00:00:00"/>
    <x v="11"/>
    <x v="4"/>
    <x v="5"/>
    <x v="6"/>
    <n v="5"/>
    <n v="2430.6799999999998"/>
    <n v="0.25"/>
    <x v="2"/>
    <x v="2"/>
    <x v="1"/>
    <n v="9115.0499999999993"/>
    <x v="0"/>
  </r>
  <r>
    <s v="OD21071"/>
    <d v="2024-05-31T00:00:00"/>
    <x v="9"/>
    <x v="1"/>
    <x v="10"/>
    <x v="4"/>
    <n v="2"/>
    <n v="1298.45"/>
    <n v="0.15"/>
    <x v="0"/>
    <x v="2"/>
    <x v="0"/>
    <n v="2207.37"/>
    <x v="0"/>
  </r>
  <r>
    <s v="OD21072"/>
    <d v="2024-07-04T00:00:00"/>
    <x v="6"/>
    <x v="3"/>
    <x v="12"/>
    <x v="3"/>
    <n v="3"/>
    <n v="1542.62"/>
    <n v="0.1"/>
    <x v="1"/>
    <x v="0"/>
    <x v="1"/>
    <n v="4165.07"/>
    <x v="0"/>
  </r>
  <r>
    <s v="OD21073"/>
    <d v="2024-11-11T00:00:00"/>
    <x v="0"/>
    <x v="1"/>
    <x v="1"/>
    <x v="0"/>
    <n v="6"/>
    <n v="5472.87"/>
    <n v="0.25"/>
    <x v="1"/>
    <x v="3"/>
    <x v="0"/>
    <n v="24627.919999999998"/>
    <x v="1"/>
  </r>
  <r>
    <s v="OD21074"/>
    <d v="2024-07-26T00:00:00"/>
    <x v="6"/>
    <x v="1"/>
    <x v="18"/>
    <x v="3"/>
    <n v="5"/>
    <n v="5017.53"/>
    <n v="0.1"/>
    <x v="0"/>
    <x v="0"/>
    <x v="0"/>
    <n v="22578.880000000001"/>
    <x v="1"/>
  </r>
  <r>
    <s v="OD21075"/>
    <d v="2024-04-27T00:00:00"/>
    <x v="8"/>
    <x v="2"/>
    <x v="2"/>
    <x v="4"/>
    <n v="1"/>
    <n v="487.12"/>
    <n v="0"/>
    <x v="1"/>
    <x v="2"/>
    <x v="1"/>
    <n v="487.12"/>
    <x v="0"/>
  </r>
  <r>
    <s v="OD21076"/>
    <d v="2024-06-16T00:00:00"/>
    <x v="11"/>
    <x v="4"/>
    <x v="8"/>
    <x v="2"/>
    <n v="2"/>
    <n v="3549.77"/>
    <n v="0.1"/>
    <x v="3"/>
    <x v="2"/>
    <x v="1"/>
    <n v="6389.59"/>
    <x v="0"/>
  </r>
  <r>
    <s v="OD21077"/>
    <d v="2024-04-30T00:00:00"/>
    <x v="8"/>
    <x v="4"/>
    <x v="8"/>
    <x v="0"/>
    <n v="6"/>
    <n v="2728.01"/>
    <n v="0.1"/>
    <x v="0"/>
    <x v="3"/>
    <x v="1"/>
    <n v="14731.25"/>
    <x v="2"/>
  </r>
  <r>
    <s v="OD21078"/>
    <d v="2024-07-26T00:00:00"/>
    <x v="6"/>
    <x v="0"/>
    <x v="16"/>
    <x v="2"/>
    <n v="6"/>
    <n v="2208.5300000000002"/>
    <n v="0.2"/>
    <x v="0"/>
    <x v="3"/>
    <x v="0"/>
    <n v="10600.94"/>
    <x v="2"/>
  </r>
  <r>
    <s v="OD21079"/>
    <d v="2024-11-15T00:00:00"/>
    <x v="0"/>
    <x v="2"/>
    <x v="3"/>
    <x v="2"/>
    <n v="2"/>
    <n v="2397.73"/>
    <n v="0.2"/>
    <x v="0"/>
    <x v="0"/>
    <x v="0"/>
    <n v="3836.37"/>
    <x v="0"/>
  </r>
  <r>
    <s v="OD21080"/>
    <d v="2024-11-03T00:00:00"/>
    <x v="0"/>
    <x v="2"/>
    <x v="20"/>
    <x v="1"/>
    <n v="4"/>
    <n v="1806.36"/>
    <n v="0.2"/>
    <x v="1"/>
    <x v="2"/>
    <x v="0"/>
    <n v="5780.35"/>
    <x v="0"/>
  </r>
  <r>
    <s v="OD21081"/>
    <d v="2024-06-18T00:00:00"/>
    <x v="11"/>
    <x v="1"/>
    <x v="10"/>
    <x v="0"/>
    <n v="2"/>
    <n v="6796.69"/>
    <n v="0.1"/>
    <x v="0"/>
    <x v="1"/>
    <x v="0"/>
    <n v="12234.04"/>
    <x v="2"/>
  </r>
  <r>
    <s v="OD21082"/>
    <d v="2024-08-09T00:00:00"/>
    <x v="2"/>
    <x v="3"/>
    <x v="13"/>
    <x v="3"/>
    <n v="6"/>
    <n v="2159.48"/>
    <n v="0.05"/>
    <x v="3"/>
    <x v="1"/>
    <x v="1"/>
    <n v="12309.04"/>
    <x v="2"/>
  </r>
  <r>
    <s v="OD21083"/>
    <d v="2024-06-12T00:00:00"/>
    <x v="11"/>
    <x v="0"/>
    <x v="17"/>
    <x v="3"/>
    <n v="1"/>
    <n v="240.1"/>
    <n v="0.05"/>
    <x v="0"/>
    <x v="0"/>
    <x v="0"/>
    <n v="228.09"/>
    <x v="0"/>
  </r>
  <r>
    <s v="OD21084"/>
    <d v="2024-12-30T00:00:00"/>
    <x v="4"/>
    <x v="3"/>
    <x v="14"/>
    <x v="5"/>
    <n v="3"/>
    <n v="408.6"/>
    <n v="0.1"/>
    <x v="3"/>
    <x v="2"/>
    <x v="0"/>
    <n v="1225.7000000000003"/>
    <x v="0"/>
  </r>
  <r>
    <s v="OD21085"/>
    <d v="2024-10-06T00:00:00"/>
    <x v="5"/>
    <x v="1"/>
    <x v="10"/>
    <x v="0"/>
    <n v="3"/>
    <n v="5654.78"/>
    <n v="0"/>
    <x v="0"/>
    <x v="3"/>
    <x v="1"/>
    <n v="16964.34"/>
    <x v="2"/>
  </r>
  <r>
    <s v="OD21086"/>
    <d v="2024-01-12T00:00:00"/>
    <x v="1"/>
    <x v="3"/>
    <x v="4"/>
    <x v="5"/>
    <n v="2"/>
    <n v="4429.08"/>
    <n v="0.05"/>
    <x v="0"/>
    <x v="3"/>
    <x v="1"/>
    <n v="8415.25"/>
    <x v="0"/>
  </r>
  <r>
    <s v="OD21087"/>
    <d v="2024-07-09T00:00:00"/>
    <x v="6"/>
    <x v="2"/>
    <x v="2"/>
    <x v="1"/>
    <n v="1"/>
    <n v="2721.93"/>
    <n v="0.05"/>
    <x v="0"/>
    <x v="4"/>
    <x v="0"/>
    <n v="2585.83"/>
    <x v="0"/>
  </r>
  <r>
    <s v="OD21088"/>
    <d v="2024-05-30T00:00:00"/>
    <x v="9"/>
    <x v="1"/>
    <x v="1"/>
    <x v="4"/>
    <n v="5"/>
    <n v="7199.48"/>
    <n v="0.25"/>
    <x v="3"/>
    <x v="1"/>
    <x v="1"/>
    <n v="26998.05"/>
    <x v="1"/>
  </r>
  <r>
    <s v="OD21089"/>
    <d v="2024-03-12T00:00:00"/>
    <x v="7"/>
    <x v="0"/>
    <x v="16"/>
    <x v="1"/>
    <n v="4"/>
    <n v="3770.66"/>
    <n v="0"/>
    <x v="0"/>
    <x v="3"/>
    <x v="1"/>
    <n v="15082.64"/>
    <x v="2"/>
  </r>
  <r>
    <s v="OD21090"/>
    <d v="2024-07-23T00:00:00"/>
    <x v="6"/>
    <x v="1"/>
    <x v="1"/>
    <x v="5"/>
    <n v="4"/>
    <n v="1291.3499999999999"/>
    <n v="0.1"/>
    <x v="0"/>
    <x v="0"/>
    <x v="1"/>
    <n v="4648.8599999999997"/>
    <x v="0"/>
  </r>
  <r>
    <s v="OD21091"/>
    <d v="2024-10-14T00:00:00"/>
    <x v="5"/>
    <x v="2"/>
    <x v="2"/>
    <x v="0"/>
    <n v="2"/>
    <n v="6527.7"/>
    <n v="0.25"/>
    <x v="0"/>
    <x v="0"/>
    <x v="0"/>
    <n v="9791.5499999999993"/>
    <x v="0"/>
  </r>
  <r>
    <s v="OD21092"/>
    <d v="2024-12-17T00:00:00"/>
    <x v="4"/>
    <x v="2"/>
    <x v="20"/>
    <x v="4"/>
    <n v="3"/>
    <n v="730.2"/>
    <n v="0.1"/>
    <x v="0"/>
    <x v="4"/>
    <x v="0"/>
    <n v="1971.54"/>
    <x v="0"/>
  </r>
  <r>
    <s v="OD21093"/>
    <d v="2024-02-20T00:00:00"/>
    <x v="10"/>
    <x v="1"/>
    <x v="18"/>
    <x v="5"/>
    <n v="5"/>
    <n v="6479.62"/>
    <n v="0"/>
    <x v="0"/>
    <x v="3"/>
    <x v="1"/>
    <n v="32398.1"/>
    <x v="1"/>
  </r>
  <r>
    <s v="OD21094"/>
    <d v="2024-05-08T00:00:00"/>
    <x v="9"/>
    <x v="0"/>
    <x v="16"/>
    <x v="0"/>
    <n v="6"/>
    <n v="2583.85"/>
    <n v="0"/>
    <x v="3"/>
    <x v="3"/>
    <x v="1"/>
    <n v="15503.1"/>
    <x v="2"/>
  </r>
  <r>
    <s v="OD21095"/>
    <d v="2024-07-29T00:00:00"/>
    <x v="6"/>
    <x v="0"/>
    <x v="15"/>
    <x v="3"/>
    <n v="5"/>
    <n v="3138.93"/>
    <n v="0"/>
    <x v="0"/>
    <x v="2"/>
    <x v="1"/>
    <n v="15694.65"/>
    <x v="2"/>
  </r>
  <r>
    <s v="OD21096"/>
    <d v="2024-04-26T00:00:00"/>
    <x v="8"/>
    <x v="3"/>
    <x v="14"/>
    <x v="0"/>
    <n v="2"/>
    <n v="5536.94"/>
    <n v="0.25"/>
    <x v="3"/>
    <x v="4"/>
    <x v="1"/>
    <n v="8305.41"/>
    <x v="0"/>
  </r>
  <r>
    <s v="OD21097"/>
    <d v="2024-07-21T00:00:00"/>
    <x v="6"/>
    <x v="0"/>
    <x v="23"/>
    <x v="0"/>
    <n v="1"/>
    <n v="5287.21"/>
    <n v="0.05"/>
    <x v="0"/>
    <x v="0"/>
    <x v="1"/>
    <n v="5022.8500000000004"/>
    <x v="0"/>
  </r>
  <r>
    <s v="OD21098"/>
    <d v="2024-02-10T00:00:00"/>
    <x v="10"/>
    <x v="4"/>
    <x v="8"/>
    <x v="0"/>
    <n v="4"/>
    <n v="5175.57"/>
    <n v="0.1"/>
    <x v="0"/>
    <x v="1"/>
    <x v="0"/>
    <n v="18632.05"/>
    <x v="2"/>
  </r>
  <r>
    <s v="OD21099"/>
    <d v="2024-01-06T00:00:00"/>
    <x v="1"/>
    <x v="0"/>
    <x v="16"/>
    <x v="3"/>
    <n v="2"/>
    <n v="4780.99"/>
    <n v="0.25"/>
    <x v="0"/>
    <x v="2"/>
    <x v="1"/>
    <n v="7171.48"/>
    <x v="0"/>
  </r>
  <r>
    <s v="OD21100"/>
    <d v="2024-02-19T00:00:00"/>
    <x v="10"/>
    <x v="4"/>
    <x v="8"/>
    <x v="0"/>
    <n v="3"/>
    <n v="7956.12"/>
    <n v="0.25"/>
    <x v="0"/>
    <x v="3"/>
    <x v="1"/>
    <n v="17901.27"/>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EEDD75-3EFF-4F2D-A273-9204BB057A6F}" name="PivotTable5" cacheId="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N4:O7" firstHeaderRow="1" firstDataRow="1" firstDataCol="1"/>
  <pivotFields count="14">
    <pivotField compact="0" outline="0" showAll="0"/>
    <pivotField compact="0" numFmtId="14" outline="0" showAll="0"/>
    <pivotField compact="0" outline="0" showAll="0">
      <items count="13">
        <item h="1" x="1"/>
        <item h="1" x="10"/>
        <item h="1" x="7"/>
        <item h="1" x="8"/>
        <item h="1" x="9"/>
        <item x="11"/>
        <item h="1" x="6"/>
        <item h="1" x="2"/>
        <item h="1" x="3"/>
        <item h="1" x="5"/>
        <item h="1" x="0"/>
        <item h="1" x="4"/>
        <item t="default"/>
      </items>
    </pivotField>
    <pivotField compact="0" outline="0" showAll="0">
      <items count="6">
        <item x="4"/>
        <item x="2"/>
        <item x="3"/>
        <item x="1"/>
        <item x="0"/>
        <item t="default"/>
      </items>
    </pivotField>
    <pivotField compact="0" outline="0" showAll="0"/>
    <pivotField compact="0" outline="0" showAll="0"/>
    <pivotField compact="0" outline="0" showAll="0"/>
    <pivotField compact="0" outline="0" showAll="0"/>
    <pivotField compact="0" numFmtId="10" outline="0" showAll="0"/>
    <pivotField compact="0" outline="0" showAll="0">
      <items count="5">
        <item x="3"/>
        <item x="0"/>
        <item x="1"/>
        <item x="2"/>
        <item t="default"/>
      </items>
    </pivotField>
    <pivotField compact="0" outline="0" showAll="0">
      <items count="6">
        <item x="0"/>
        <item h="1" x="1"/>
        <item h="1" x="2"/>
        <item h="1" x="3"/>
        <item h="1" x="4"/>
        <item t="default"/>
      </items>
    </pivotField>
    <pivotField axis="axisRow" compact="0" outline="0" showAll="0">
      <items count="3">
        <item x="1"/>
        <item x="0"/>
        <item t="default"/>
      </items>
    </pivotField>
    <pivotField dataField="1" compact="0" outline="0" showAll="0"/>
    <pivotField compact="0" outline="0" showAll="0"/>
  </pivotFields>
  <rowFields count="1">
    <field x="11"/>
  </rowFields>
  <rowItems count="3">
    <i>
      <x/>
    </i>
    <i>
      <x v="1"/>
    </i>
    <i t="grand">
      <x/>
    </i>
  </rowItems>
  <colItems count="1">
    <i/>
  </colItems>
  <dataFields count="1">
    <dataField name="Sum of OrderAmount" fld="12" baseField="0" baseItem="0"/>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1" count="1" selected="0">
            <x v="0"/>
          </reference>
        </references>
      </pivotArea>
    </chartFormat>
    <chartFormat chart="5" format="6">
      <pivotArea type="data" outline="0" fieldPosition="0">
        <references count="2">
          <reference field="4294967294" count="1" selected="0">
            <x v="0"/>
          </reference>
          <reference field="11" count="1" selected="0">
            <x v="1"/>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DCBDB9-F901-48AA-8D8A-3E3B7EC91328}" name="PivotTable9" cacheId="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R18:R19" firstHeaderRow="1" firstDataRow="1" firstDataCol="0"/>
  <pivotFields count="14">
    <pivotField dataField="1" compact="0" outline="0" showAll="0"/>
    <pivotField compact="0" numFmtId="14" outline="0" showAll="0"/>
    <pivotField compact="0" outline="0" showAll="0">
      <items count="13">
        <item h="1" x="1"/>
        <item h="1" x="10"/>
        <item h="1" x="7"/>
        <item h="1" x="8"/>
        <item h="1" x="9"/>
        <item x="11"/>
        <item h="1" x="6"/>
        <item h="1" x="2"/>
        <item h="1" x="3"/>
        <item h="1" x="5"/>
        <item h="1" x="0"/>
        <item h="1" x="4"/>
        <item t="default"/>
      </items>
    </pivotField>
    <pivotField compact="0" outline="0" showAll="0">
      <items count="6">
        <item x="4"/>
        <item x="2"/>
        <item x="3"/>
        <item x="1"/>
        <item x="0"/>
        <item t="default"/>
      </items>
    </pivotField>
    <pivotField compact="0" outline="0" showAll="0"/>
    <pivotField compact="0" outline="0" showAll="0"/>
    <pivotField compact="0" outline="0" showAll="0"/>
    <pivotField compact="0" outline="0" showAll="0"/>
    <pivotField compact="0" numFmtId="10" outline="0" showAll="0"/>
    <pivotField compact="0" outline="0" showAll="0"/>
    <pivotField compact="0" outline="0" showAll="0">
      <items count="6">
        <item x="0"/>
        <item h="1" x="1"/>
        <item h="1" x="2"/>
        <item h="1" x="3"/>
        <item h="1" x="4"/>
        <item t="default"/>
      </items>
    </pivotField>
    <pivotField compact="0" outline="0" showAll="0">
      <items count="3">
        <item x="1"/>
        <item x="0"/>
        <item t="default"/>
      </items>
    </pivotField>
    <pivotField compact="0" outline="0" showAll="0"/>
    <pivotField compact="0" outline="0" showAll="0"/>
  </pivotFields>
  <rowItems count="1">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390C8B-7013-4299-ADAE-80048A199932}" name="PivotTable4" cacheId="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K4:L9" firstHeaderRow="1" firstDataRow="1" firstDataCol="1"/>
  <pivotFields count="14">
    <pivotField dataField="1" compact="0" outline="0" showAll="0"/>
    <pivotField compact="0" numFmtId="14" outline="0" showAll="0"/>
    <pivotField compact="0" outline="0" showAll="0">
      <items count="13">
        <item h="1" x="1"/>
        <item h="1" x="10"/>
        <item h="1" x="7"/>
        <item h="1" x="8"/>
        <item h="1" x="9"/>
        <item x="11"/>
        <item h="1" x="6"/>
        <item h="1" x="2"/>
        <item h="1" x="3"/>
        <item h="1" x="5"/>
        <item h="1" x="0"/>
        <item h="1" x="4"/>
        <item t="default"/>
      </items>
    </pivotField>
    <pivotField compact="0" outline="0" showAll="0">
      <items count="6">
        <item x="4"/>
        <item x="2"/>
        <item x="3"/>
        <item x="1"/>
        <item x="0"/>
        <item t="default"/>
      </items>
    </pivotField>
    <pivotField compact="0" outline="0" showAll="0"/>
    <pivotField compact="0" outline="0" showAll="0"/>
    <pivotField compact="0" outline="0" showAll="0"/>
    <pivotField compact="0" outline="0" showAll="0"/>
    <pivotField compact="0" numFmtId="10" outline="0" showAll="0"/>
    <pivotField axis="axisRow" compact="0" outline="0"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compact="0" outline="0" showAll="0">
      <items count="6">
        <item x="0"/>
        <item h="1" x="1"/>
        <item h="1" x="2"/>
        <item h="1" x="3"/>
        <item h="1" x="4"/>
        <item t="default"/>
      </items>
    </pivotField>
    <pivotField compact="0" outline="0" showAll="0">
      <items count="3">
        <item x="1"/>
        <item x="0"/>
        <item t="default"/>
      </items>
    </pivotField>
    <pivotField compact="0" outline="0" showAll="0"/>
    <pivotField compact="0" outline="0" showAll="0"/>
  </pivotFields>
  <rowFields count="1">
    <field x="9"/>
  </rowFields>
  <rowItems count="5">
    <i>
      <x v="1"/>
    </i>
    <i>
      <x v="2"/>
    </i>
    <i>
      <x/>
    </i>
    <i>
      <x v="3"/>
    </i>
    <i t="grand">
      <x/>
    </i>
  </rowItems>
  <colItems count="1">
    <i/>
  </colItems>
  <dataFields count="1">
    <dataField name="Count of OrderID" fld="0" subtotal="count" baseField="0" baseItem="0"/>
  </dataFields>
  <chartFormats count="10">
    <chartFormat chart="11"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9" count="1" selected="0">
            <x v="1"/>
          </reference>
        </references>
      </pivotArea>
    </chartFormat>
    <chartFormat chart="15" format="8">
      <pivotArea type="data" outline="0" fieldPosition="0">
        <references count="2">
          <reference field="4294967294" count="1" selected="0">
            <x v="0"/>
          </reference>
          <reference field="9" count="1" selected="0">
            <x v="2"/>
          </reference>
        </references>
      </pivotArea>
    </chartFormat>
    <chartFormat chart="15" format="9">
      <pivotArea type="data" outline="0" fieldPosition="0">
        <references count="2">
          <reference field="4294967294" count="1" selected="0">
            <x v="0"/>
          </reference>
          <reference field="9" count="1" selected="0">
            <x v="3"/>
          </reference>
        </references>
      </pivotArea>
    </chartFormat>
    <chartFormat chart="15" format="10">
      <pivotArea type="data" outline="0" fieldPosition="0">
        <references count="2">
          <reference field="4294967294" count="1" selected="0">
            <x v="0"/>
          </reference>
          <reference field="9" count="1" selected="0">
            <x v="0"/>
          </reference>
        </references>
      </pivotArea>
    </chartFormat>
    <chartFormat chart="11" format="1">
      <pivotArea type="data" outline="0" fieldPosition="0">
        <references count="2">
          <reference field="4294967294" count="1" selected="0">
            <x v="0"/>
          </reference>
          <reference field="9" count="1" selected="0">
            <x v="1"/>
          </reference>
        </references>
      </pivotArea>
    </chartFormat>
    <chartFormat chart="11" format="2">
      <pivotArea type="data" outline="0" fieldPosition="0">
        <references count="2">
          <reference field="4294967294" count="1" selected="0">
            <x v="0"/>
          </reference>
          <reference field="9" count="1" selected="0">
            <x v="2"/>
          </reference>
        </references>
      </pivotArea>
    </chartFormat>
    <chartFormat chart="11" format="3">
      <pivotArea type="data" outline="0" fieldPosition="0">
        <references count="2">
          <reference field="4294967294" count="1" selected="0">
            <x v="0"/>
          </reference>
          <reference field="9" count="1" selected="0">
            <x v="3"/>
          </reference>
        </references>
      </pivotArea>
    </chartFormat>
    <chartFormat chart="11" format="4">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B0431E-284E-418F-A7E6-F2847B8BDE63}" name="PivotTable3" cacheId="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H4:I6" firstHeaderRow="1" firstDataRow="1" firstDataCol="1"/>
  <pivotFields count="14">
    <pivotField compact="0" outline="0" showAll="0"/>
    <pivotField compact="0" numFmtId="14" outline="0" showAll="0"/>
    <pivotField axis="axisRow" compact="0" outline="0" showAll="0">
      <items count="13">
        <item h="1" x="1"/>
        <item h="1" x="10"/>
        <item h="1" x="7"/>
        <item h="1" x="8"/>
        <item h="1" x="9"/>
        <item x="11"/>
        <item h="1" x="6"/>
        <item h="1" x="2"/>
        <item h="1" x="3"/>
        <item h="1" x="5"/>
        <item h="1" x="0"/>
        <item h="1" x="4"/>
        <item t="default"/>
      </items>
    </pivotField>
    <pivotField compact="0" outline="0" showAll="0">
      <items count="6">
        <item x="4"/>
        <item x="2"/>
        <item x="3"/>
        <item x="1"/>
        <item x="0"/>
        <item t="default"/>
      </items>
    </pivotField>
    <pivotField compact="0" outline="0" showAll="0"/>
    <pivotField compact="0" outline="0" showAll="0"/>
    <pivotField compact="0" outline="0" showAll="0"/>
    <pivotField compact="0" outline="0" showAll="0"/>
    <pivotField compact="0" numFmtId="10" outline="0" showAll="0"/>
    <pivotField compact="0" outline="0" showAll="0"/>
    <pivotField compact="0" outline="0" showAll="0">
      <items count="6">
        <item x="0"/>
        <item h="1" x="1"/>
        <item h="1" x="2"/>
        <item h="1" x="3"/>
        <item h="1" x="4"/>
        <item t="default"/>
      </items>
    </pivotField>
    <pivotField compact="0" outline="0" showAll="0">
      <items count="3">
        <item x="1"/>
        <item x="0"/>
        <item t="default"/>
      </items>
    </pivotField>
    <pivotField dataField="1" compact="0" outline="0" showAll="0"/>
    <pivotField compact="0" outline="0" showAll="0"/>
  </pivotFields>
  <rowFields count="1">
    <field x="2"/>
  </rowFields>
  <rowItems count="2">
    <i>
      <x v="5"/>
    </i>
    <i t="grand">
      <x/>
    </i>
  </rowItems>
  <colItems count="1">
    <i/>
  </colItems>
  <dataFields count="1">
    <dataField name="Sum of OrderAmount"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055ABA-9561-4123-BEC4-7269385A0224}" name="PivotTable8" cacheId="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R15:R16" firstHeaderRow="1" firstDataRow="1" firstDataCol="0"/>
  <pivotFields count="14">
    <pivotField compact="0" outline="0" showAll="0"/>
    <pivotField compact="0" numFmtId="14" outline="0" showAll="0"/>
    <pivotField compact="0" outline="0" showAll="0">
      <items count="13">
        <item h="1" x="1"/>
        <item h="1" x="10"/>
        <item h="1" x="7"/>
        <item h="1" x="8"/>
        <item h="1" x="9"/>
        <item x="11"/>
        <item h="1" x="6"/>
        <item h="1" x="2"/>
        <item h="1" x="3"/>
        <item h="1" x="5"/>
        <item h="1" x="0"/>
        <item h="1" x="4"/>
        <item t="default"/>
      </items>
    </pivotField>
    <pivotField compact="0" outline="0" showAll="0">
      <items count="6">
        <item x="4"/>
        <item x="2"/>
        <item x="3"/>
        <item x="1"/>
        <item x="0"/>
        <item t="default"/>
      </items>
    </pivotField>
    <pivotField compact="0" outline="0" showAll="0"/>
    <pivotField compact="0" outline="0" showAll="0"/>
    <pivotField compact="0" outline="0" showAll="0"/>
    <pivotField compact="0" outline="0" showAll="0"/>
    <pivotField compact="0" numFmtId="10" outline="0" showAll="0"/>
    <pivotField compact="0" outline="0" showAll="0"/>
    <pivotField compact="0" outline="0" showAll="0">
      <items count="6">
        <item x="0"/>
        <item h="1" x="1"/>
        <item h="1" x="2"/>
        <item h="1" x="3"/>
        <item h="1" x="4"/>
        <item t="default"/>
      </items>
    </pivotField>
    <pivotField compact="0" outline="0" showAll="0">
      <items count="3">
        <item x="1"/>
        <item x="0"/>
        <item t="default"/>
      </items>
    </pivotField>
    <pivotField dataField="1" compact="0" outline="0" showAll="0"/>
    <pivotField compact="0" outline="0" showAll="0"/>
  </pivotFields>
  <rowItems count="1">
    <i/>
  </rowItems>
  <colItems count="1">
    <i/>
  </colItems>
  <dataFields count="1">
    <dataField name="Sum of OrderAmount"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B1B41E-2D89-4138-B55D-E0E650DB6AB5}" name="PivotTable2" cacheId="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E4:F10" firstHeaderRow="1" firstDataRow="1" firstDataCol="1"/>
  <pivotFields count="14">
    <pivotField compact="0" outline="0" showAll="0"/>
    <pivotField compact="0" numFmtId="14" outline="0" showAll="0"/>
    <pivotField compact="0" outline="0" showAll="0">
      <items count="13">
        <item h="1" x="1"/>
        <item h="1" x="10"/>
        <item h="1" x="7"/>
        <item h="1" x="8"/>
        <item h="1" x="9"/>
        <item x="11"/>
        <item h="1" x="6"/>
        <item h="1" x="2"/>
        <item h="1" x="3"/>
        <item h="1" x="5"/>
        <item h="1" x="0"/>
        <item h="1" x="4"/>
        <item t="default"/>
      </items>
    </pivotField>
    <pivotField compact="0" outline="0" showAll="0">
      <items count="6">
        <item x="4"/>
        <item x="2"/>
        <item x="3"/>
        <item x="1"/>
        <item x="0"/>
        <item t="default"/>
      </items>
    </pivotField>
    <pivotField compact="0" outline="0" showAll="0"/>
    <pivotField axis="axisRow" compact="0" outline="0" showAll="0" measureFilter="1">
      <items count="9">
        <item x="2"/>
        <item x="7"/>
        <item x="4"/>
        <item x="5"/>
        <item x="3"/>
        <item x="1"/>
        <item x="6"/>
        <item x="0"/>
        <item t="default"/>
      </items>
    </pivotField>
    <pivotField compact="0" outline="0" showAll="0"/>
    <pivotField compact="0" outline="0" showAll="0"/>
    <pivotField compact="0" numFmtId="10" outline="0" showAll="0"/>
    <pivotField compact="0" outline="0" showAll="0"/>
    <pivotField compact="0" outline="0" showAll="0">
      <items count="6">
        <item x="0"/>
        <item h="1" x="1"/>
        <item h="1" x="2"/>
        <item h="1" x="3"/>
        <item h="1" x="4"/>
        <item t="default"/>
      </items>
    </pivotField>
    <pivotField compact="0" outline="0" showAll="0">
      <items count="3">
        <item x="1"/>
        <item x="0"/>
        <item t="default"/>
      </items>
    </pivotField>
    <pivotField dataField="1" compact="0" outline="0" showAll="0"/>
    <pivotField compact="0" outline="0" showAll="0"/>
  </pivotFields>
  <rowFields count="1">
    <field x="5"/>
  </rowFields>
  <rowItems count="6">
    <i>
      <x/>
    </i>
    <i>
      <x v="2"/>
    </i>
    <i>
      <x v="3"/>
    </i>
    <i>
      <x v="5"/>
    </i>
    <i>
      <x v="7"/>
    </i>
    <i t="grand">
      <x/>
    </i>
  </rowItems>
  <colItems count="1">
    <i/>
  </colItems>
  <dataFields count="1">
    <dataField name="Sum of OrderAmount"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B85DF9-6D31-4A17-B7E1-D8DE14FEC583}"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4:U8" firstHeaderRow="1" firstDataRow="1" firstDataCol="1"/>
  <pivotFields count="14">
    <pivotField dataField="1" showAll="0"/>
    <pivotField numFmtId="14" showAll="0"/>
    <pivotField showAll="0">
      <items count="13">
        <item h="1" x="1"/>
        <item h="1" x="10"/>
        <item h="1" x="7"/>
        <item h="1" x="8"/>
        <item h="1" x="9"/>
        <item x="11"/>
        <item h="1" x="6"/>
        <item h="1" x="2"/>
        <item h="1" x="3"/>
        <item h="1" x="5"/>
        <item h="1" x="0"/>
        <item h="1" x="4"/>
        <item t="default"/>
      </items>
    </pivotField>
    <pivotField showAll="0">
      <items count="6">
        <item x="4"/>
        <item x="2"/>
        <item x="3"/>
        <item x="1"/>
        <item x="0"/>
        <item t="default"/>
      </items>
    </pivotField>
    <pivotField showAll="0">
      <items count="26">
        <item x="17"/>
        <item x="13"/>
        <item x="7"/>
        <item x="15"/>
        <item x="23"/>
        <item x="20"/>
        <item x="14"/>
        <item x="6"/>
        <item x="19"/>
        <item x="5"/>
        <item x="9"/>
        <item x="10"/>
        <item x="11"/>
        <item x="24"/>
        <item x="2"/>
        <item x="3"/>
        <item x="22"/>
        <item x="4"/>
        <item x="12"/>
        <item x="21"/>
        <item x="18"/>
        <item x="8"/>
        <item x="16"/>
        <item x="1"/>
        <item x="0"/>
        <item t="default"/>
      </items>
    </pivotField>
    <pivotField showAll="0"/>
    <pivotField showAll="0"/>
    <pivotField showAll="0"/>
    <pivotField numFmtId="10" showAll="0"/>
    <pivotField showAll="0"/>
    <pivotField showAll="0">
      <items count="6">
        <item x="0"/>
        <item h="1" x="1"/>
        <item h="1" x="2"/>
        <item h="1" x="3"/>
        <item h="1" x="4"/>
        <item t="default"/>
      </items>
    </pivotField>
    <pivotField showAll="0">
      <items count="3">
        <item x="1"/>
        <item x="0"/>
        <item t="default"/>
      </items>
    </pivotField>
    <pivotField showAll="0"/>
    <pivotField axis="axisRow" showAll="0">
      <items count="4">
        <item x="1"/>
        <item x="0"/>
        <item x="2"/>
        <item t="default"/>
      </items>
    </pivotField>
  </pivotFields>
  <rowFields count="1">
    <field x="13"/>
  </rowFields>
  <rowItems count="4">
    <i>
      <x/>
    </i>
    <i>
      <x v="1"/>
    </i>
    <i>
      <x v="2"/>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F55F6F-9481-4A2F-B9EB-41FE24ECDEC0}" name="PivotTable1" cacheId="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B4:C10" firstHeaderRow="1" firstDataRow="1" firstDataCol="1"/>
  <pivotFields count="14">
    <pivotField compact="0" outline="0" showAll="0"/>
    <pivotField compact="0" numFmtId="14" outline="0" showAll="0"/>
    <pivotField compact="0" outline="0" showAll="0">
      <items count="13">
        <item h="1" x="1"/>
        <item h="1" x="10"/>
        <item h="1" x="7"/>
        <item h="1" x="8"/>
        <item h="1" x="9"/>
        <item x="11"/>
        <item h="1" x="6"/>
        <item h="1" x="2"/>
        <item h="1" x="3"/>
        <item h="1" x="5"/>
        <item h="1" x="0"/>
        <item h="1" x="4"/>
        <item t="default"/>
      </items>
    </pivotField>
    <pivotField axis="axisRow" compact="0" outline="0" showAll="0">
      <items count="6">
        <item x="4"/>
        <item x="2"/>
        <item x="3"/>
        <item x="1"/>
        <item x="0"/>
        <item t="default"/>
      </items>
    </pivotField>
    <pivotField compact="0" outline="0" showAll="0"/>
    <pivotField compact="0" outline="0" showAll="0"/>
    <pivotField compact="0" outline="0" showAll="0"/>
    <pivotField compact="0" outline="0" showAll="0"/>
    <pivotField compact="0" numFmtId="10" outline="0" showAll="0"/>
    <pivotField compact="0" outline="0" showAll="0"/>
    <pivotField compact="0" outline="0" showAll="0">
      <items count="6">
        <item x="0"/>
        <item h="1" x="1"/>
        <item h="1" x="2"/>
        <item h="1" x="3"/>
        <item h="1" x="4"/>
        <item t="default"/>
      </items>
    </pivotField>
    <pivotField compact="0" outline="0" showAll="0">
      <items count="3">
        <item x="1"/>
        <item x="0"/>
        <item t="default"/>
      </items>
    </pivotField>
    <pivotField dataField="1" compact="0" outline="0" showAll="0"/>
    <pivotField compact="0" outline="0" showAll="0"/>
  </pivotFields>
  <rowFields count="1">
    <field x="3"/>
  </rowFields>
  <rowItems count="6">
    <i>
      <x/>
    </i>
    <i>
      <x v="1"/>
    </i>
    <i>
      <x v="2"/>
    </i>
    <i>
      <x v="3"/>
    </i>
    <i>
      <x v="4"/>
    </i>
    <i t="grand">
      <x/>
    </i>
  </rowItems>
  <colItems count="1">
    <i/>
  </colItems>
  <dataFields count="1">
    <dataField name="Sum of OrderAmount"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18C9E4-146A-45AF-B2CF-DF0103D04308}"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4:R6" firstHeaderRow="1" firstDataRow="1" firstDataCol="1"/>
  <pivotFields count="14">
    <pivotField dataField="1" showAll="0"/>
    <pivotField numFmtId="14" showAll="0"/>
    <pivotField showAll="0">
      <items count="13">
        <item h="1" x="1"/>
        <item h="1" x="10"/>
        <item h="1" x="7"/>
        <item h="1" x="8"/>
        <item h="1" x="9"/>
        <item x="11"/>
        <item h="1" x="6"/>
        <item h="1" x="2"/>
        <item h="1" x="3"/>
        <item h="1" x="5"/>
        <item h="1" x="0"/>
        <item h="1" x="4"/>
        <item t="default"/>
      </items>
    </pivotField>
    <pivotField showAll="0">
      <items count="6">
        <item x="4"/>
        <item x="2"/>
        <item x="3"/>
        <item x="1"/>
        <item x="0"/>
        <item t="default"/>
      </items>
    </pivotField>
    <pivotField showAll="0"/>
    <pivotField showAll="0"/>
    <pivotField showAll="0"/>
    <pivotField showAll="0"/>
    <pivotField numFmtId="10" showAll="0"/>
    <pivotField showAll="0"/>
    <pivotField axis="axisRow" showAll="0" sortType="descending">
      <items count="6">
        <item x="0"/>
        <item h="1" x="1"/>
        <item h="1" x="2"/>
        <item h="1" x="3"/>
        <item h="1" x="4"/>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s>
  <rowFields count="1">
    <field x="10"/>
  </rowFields>
  <rowItems count="2">
    <i>
      <x/>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BD9FC1-3BD3-441C-9489-6231E95A6605}" name="PivotTable11" cacheId="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R25:S27" firstHeaderRow="1" firstDataRow="1" firstDataCol="1"/>
  <pivotFields count="14">
    <pivotField dataField="1" compact="0" outline="0" showAll="0"/>
    <pivotField compact="0" numFmtId="14" outline="0" showAll="0"/>
    <pivotField compact="0" outline="0" showAll="0">
      <items count="13">
        <item h="1" x="1"/>
        <item h="1" x="10"/>
        <item h="1" x="7"/>
        <item h="1" x="8"/>
        <item h="1" x="9"/>
        <item x="11"/>
        <item h="1" x="6"/>
        <item h="1" x="2"/>
        <item h="1" x="3"/>
        <item h="1" x="5"/>
        <item h="1" x="0"/>
        <item h="1" x="4"/>
        <item t="default"/>
      </items>
    </pivotField>
    <pivotField compact="0" outline="0" showAll="0">
      <items count="6">
        <item x="4"/>
        <item x="2"/>
        <item x="3"/>
        <item x="1"/>
        <item x="0"/>
        <item t="default"/>
      </items>
    </pivotField>
    <pivotField compact="0" outline="0" showAll="0"/>
    <pivotField compact="0" outline="0" showAll="0"/>
    <pivotField compact="0" outline="0" showAll="0"/>
    <pivotField compact="0" outline="0" showAll="0"/>
    <pivotField compact="0" numFmtId="10" outline="0" showAll="0"/>
    <pivotField axis="axisRow" compact="0" outline="0" showAll="0">
      <items count="5">
        <item h="1" x="3"/>
        <item x="0"/>
        <item h="1" x="1"/>
        <item h="1" x="2"/>
        <item t="default"/>
      </items>
    </pivotField>
    <pivotField compact="0" outline="0" showAll="0">
      <items count="6">
        <item x="0"/>
        <item h="1" x="1"/>
        <item h="1" x="2"/>
        <item h="1" x="3"/>
        <item h="1" x="4"/>
        <item t="default"/>
      </items>
    </pivotField>
    <pivotField compact="0" outline="0" showAll="0">
      <items count="3">
        <item x="1"/>
        <item x="0"/>
        <item t="default"/>
      </items>
    </pivotField>
    <pivotField compact="0" outline="0" showAll="0"/>
    <pivotField compact="0" outline="0" showAll="0"/>
  </pivotFields>
  <rowFields count="1">
    <field x="9"/>
  </rowFields>
  <rowItems count="2">
    <i>
      <x v="1"/>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164B3A0-3859-46CA-89DC-AE2A51EE8815}" name="PivotTable10" cacheId="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R21:R22" firstHeaderRow="1" firstDataRow="1" firstDataCol="0"/>
  <pivotFields count="14">
    <pivotField compact="0" outline="0" showAll="0"/>
    <pivotField compact="0" numFmtId="14" outline="0" showAll="0"/>
    <pivotField compact="0" outline="0" showAll="0">
      <items count="13">
        <item h="1" x="1"/>
        <item h="1" x="10"/>
        <item h="1" x="7"/>
        <item h="1" x="8"/>
        <item h="1" x="9"/>
        <item x="11"/>
        <item h="1" x="6"/>
        <item h="1" x="2"/>
        <item h="1" x="3"/>
        <item h="1" x="5"/>
        <item h="1" x="0"/>
        <item h="1" x="4"/>
        <item t="default"/>
      </items>
    </pivotField>
    <pivotField compact="0" outline="0" showAll="0">
      <items count="6">
        <item x="4"/>
        <item x="2"/>
        <item x="3"/>
        <item x="1"/>
        <item x="0"/>
        <item t="default"/>
      </items>
    </pivotField>
    <pivotField compact="0" outline="0" showAll="0"/>
    <pivotField compact="0" outline="0" showAll="0"/>
    <pivotField compact="0" outline="0" showAll="0"/>
    <pivotField compact="0" outline="0" showAll="0"/>
    <pivotField compact="0" numFmtId="10" outline="0" showAll="0"/>
    <pivotField compact="0" outline="0" showAll="0"/>
    <pivotField compact="0" outline="0" showAll="0">
      <items count="6">
        <item x="0"/>
        <item h="1" x="1"/>
        <item h="1" x="2"/>
        <item h="1" x="3"/>
        <item h="1" x="4"/>
        <item t="default"/>
      </items>
    </pivotField>
    <pivotField compact="0" outline="0" showAll="0">
      <items count="3">
        <item x="1"/>
        <item x="0"/>
        <item t="default"/>
      </items>
    </pivotField>
    <pivotField dataField="1" compact="0" outline="0" showAll="0"/>
    <pivotField compact="0" outline="0" showAll="0"/>
  </pivotFields>
  <rowItems count="1">
    <i/>
  </rowItems>
  <colItems count="1">
    <i/>
  </colItems>
  <dataFields count="1">
    <dataField name="Average of OrderAmount" fld="12"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1E1F68C7-9B37-4FB8-9D82-814D818C3100}" sourceName="Order_month">
  <pivotTables>
    <pivotTable tabId="3" name="PivotTable5"/>
    <pivotTable tabId="3" name="PivotTable1"/>
    <pivotTable tabId="3" name="PivotTable10"/>
    <pivotTable tabId="3" name="PivotTable11"/>
    <pivotTable tabId="3" name="PivotTable2"/>
    <pivotTable tabId="3" name="PivotTable3"/>
    <pivotTable tabId="3" name="PivotTable4"/>
    <pivotTable tabId="3" name="PivotTable6"/>
    <pivotTable tabId="3" name="PivotTable7"/>
    <pivotTable tabId="3" name="PivotTable8"/>
    <pivotTable tabId="3" name="PivotTable9"/>
  </pivotTables>
  <data>
    <tabular pivotCacheId="1904178886">
      <items count="12">
        <i x="1"/>
        <i x="10"/>
        <i x="7"/>
        <i x="8"/>
        <i x="9"/>
        <i x="11" s="1"/>
        <i x="6"/>
        <i x="2"/>
        <i x="3"/>
        <i x="5"/>
        <i x="0"/>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436717B-9BBD-4145-AD74-286D36F20015}" sourceName="Category">
  <pivotTables>
    <pivotTable tabId="3" name="PivotTable5"/>
    <pivotTable tabId="3" name="PivotTable1"/>
    <pivotTable tabId="3" name="PivotTable10"/>
    <pivotTable tabId="3" name="PivotTable11"/>
    <pivotTable tabId="3" name="PivotTable2"/>
    <pivotTable tabId="3" name="PivotTable3"/>
    <pivotTable tabId="3" name="PivotTable4"/>
    <pivotTable tabId="3" name="PivotTable6"/>
    <pivotTable tabId="3" name="PivotTable7"/>
    <pivotTable tabId="3" name="PivotTable8"/>
    <pivotTable tabId="3" name="PivotTable9"/>
  </pivotTables>
  <data>
    <tabular pivotCacheId="1904178886">
      <items count="5">
        <i x="4" s="1"/>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6653240C-5825-47EA-99A1-7E87B87FE60F}" sourceName="OrderStatus">
  <pivotTables>
    <pivotTable tabId="3" name="PivotTable5"/>
  </pivotTables>
  <data>
    <tabular pivotCacheId="1904178886">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E130DEC9-2B0C-45C4-BF5D-E2F7F736F2A6}" sourceName="PaymentMode">
  <pivotTables>
    <pivotTable tabId="3" name="PivotTable5"/>
    <pivotTable tabId="3" name="PivotTable1"/>
    <pivotTable tabId="3" name="PivotTable10"/>
    <pivotTable tabId="3" name="PivotTable11"/>
    <pivotTable tabId="3" name="PivotTable2"/>
    <pivotTable tabId="3" name="PivotTable3"/>
    <pivotTable tabId="3" name="PivotTable4"/>
    <pivotTable tabId="3" name="PivotTable6"/>
    <pivotTable tabId="3" name="PivotTable7"/>
    <pivotTable tabId="3" name="PivotTable8"/>
    <pivotTable tabId="3" name="PivotTable9"/>
  </pivotTables>
  <data>
    <tabular pivotCacheId="1904178886">
      <items count="5">
        <i x="0" s="1"/>
        <i x="1"/>
        <i x="2"/>
        <i x="3"/>
        <i x="4"/>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728D42AE-D758-4307-8DF6-591D8096B8BC}" sourceName="Channel">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 tabId="3" name="PivotTable9"/>
    <pivotTable tabId="3" name="PivotTable10"/>
    <pivotTable tabId="3" name="PivotTable11"/>
  </pivotTables>
  <data>
    <tabular pivotCacheId="190417888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month" xr10:uid="{BA2685B5-3EA2-4009-867D-7EE5EA247EF9}" cache="Slicer_Order_month" caption="Order_month" startItem="5" rowHeight="234950"/>
  <slicer name="Category" xr10:uid="{9D425522-A8DE-4E1E-83B0-DB543F72FFAA}" cache="Slicer_Category" caption="Category" rowHeight="234950"/>
  <slicer name="OrderStatus" xr10:uid="{C03383AF-59D4-44A0-B513-D9719CB89480}" cache="Slicer_OrderStatus" caption="OrderStatus" rowHeight="234950"/>
  <slicer name="PaymentMode" xr10:uid="{C4EF9C04-C2BD-432B-9013-28DC281BB6A3}" cache="Slicer_PaymentMode" caption="PaymentMode" rowHeight="234950"/>
  <slicer name="Channel" xr10:uid="{3724A781-7BA1-41A5-A49E-C8E9FBD722B3}" cache="Slicer_Channel" caption="Channe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month 1" xr10:uid="{B0CAF890-ED86-484C-B64E-EE21DD399A20}" cache="Slicer_Order_month" caption="Order_month" rowHeight="288000"/>
  <slicer name="Category 1" xr10:uid="{E167C1AA-75C1-47C6-A301-8C17B3FEE649}" cache="Slicer_Category" caption="Category" columnCount="2" rowHeight="360000"/>
  <slicer name="PaymentMode 1" xr10:uid="{D3DD08B0-6AF6-4A55-A82E-1D505E8EA2D0}" cache="Slicer_PaymentMode" caption="PaymentMode" columnCount="2" rowHeight="324000"/>
  <slicer name="Channel 1" xr10:uid="{A39D0685-EFCB-4E34-B9D2-C67E9A12D954}" cache="Slicer_Channel" caption="Channel" columnCount="2"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94F0C8-1DD0-4039-82AD-3FA98F2AD60E}" name="Orders" displayName="Orders" ref="A1:N1101" totalsRowShown="0">
  <tableColumns count="14">
    <tableColumn id="1" xr3:uid="{04A2CCE1-1492-439D-AC8A-9330076C8F9E}" name="OrderID"/>
    <tableColumn id="2" xr3:uid="{3F3FA0CD-2FC3-44FD-8658-8CAD18315901}" name="OrderDate" dataDxfId="3"/>
    <tableColumn id="14" xr3:uid="{87398741-106A-47A0-B152-AE07BB9F0AE1}" name="Order_month" dataDxfId="2">
      <calculatedColumnFormula>TEXT(B2,"mmmm")</calculatedColumnFormula>
    </tableColumn>
    <tableColumn id="3" xr3:uid="{1DEFF1D7-84E0-482B-852D-52B03C47097F}" name="Category"/>
    <tableColumn id="4" xr3:uid="{F09975E1-687D-438D-9CE2-8F26E6864ACF}" name="Product"/>
    <tableColumn id="5" xr3:uid="{1BD51921-3C45-4FC4-94DC-7A4A13ABF4E7}" name="State"/>
    <tableColumn id="6" xr3:uid="{93F5BCAD-3121-4A0F-9BF1-9FC963EFAF0C}" name="Quantity"/>
    <tableColumn id="7" xr3:uid="{8A110BB0-4CD0-48D6-831C-4733DA1FDB0C}" name="UnitPrice"/>
    <tableColumn id="8" xr3:uid="{DC74BFE7-9099-4C0E-B9E9-916684D06852}" name="Discount%" dataDxfId="1" dataCellStyle="Percent"/>
    <tableColumn id="9" xr3:uid="{214D9DEE-C71A-469E-AB93-4698F34E370C}" name="OrderStatus"/>
    <tableColumn id="10" xr3:uid="{80D15B3F-E73F-4E3D-A9F1-3D7A67B1E4E5}" name="PaymentMode"/>
    <tableColumn id="11" xr3:uid="{A8432259-0702-4878-ACFA-C424A4530D92}" name="Channel"/>
    <tableColumn id="12" xr3:uid="{5C74584D-3893-4C47-A122-A1DEFB1FAC7F}" name="OrderAmount"/>
    <tableColumn id="15" xr3:uid="{1EAAEF80-A937-45DE-A430-7492145FFB66}" name="Sales bucket" dataDxfId="0">
      <calculatedColumnFormula>IF(M2&gt;20000,"High",IF(M2&gt;10000,"Medium","Low"))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F51D5-5584-4A1F-A9A1-FF77ABD3CA32}">
  <dimension ref="A1:N1101"/>
  <sheetViews>
    <sheetView workbookViewId="0">
      <selection activeCell="P5" sqref="P5"/>
    </sheetView>
  </sheetViews>
  <sheetFormatPr defaultRowHeight="14.4" x14ac:dyDescent="0.3"/>
  <cols>
    <col min="1" max="1" width="9.44140625" customWidth="1"/>
    <col min="2" max="2" width="11.5546875" customWidth="1"/>
    <col min="3" max="3" width="12.44140625" bestFit="1" customWidth="1"/>
    <col min="4" max="4" width="17" bestFit="1" customWidth="1"/>
    <col min="5" max="5" width="13.77734375" bestFit="1" customWidth="1"/>
    <col min="6" max="6" width="10.21875" customWidth="1"/>
    <col min="7" max="7" width="10.5546875" customWidth="1"/>
    <col min="8" max="8" width="11.6640625" style="2" customWidth="1"/>
    <col min="9" max="9" width="12.88671875" customWidth="1"/>
    <col min="10" max="10" width="15.44140625" customWidth="1"/>
    <col min="11" max="11" width="13.6640625" bestFit="1" customWidth="1"/>
    <col min="12" max="12" width="14.5546875" customWidth="1"/>
    <col min="13" max="13" width="12.6640625" bestFit="1" customWidth="1"/>
    <col min="14" max="14" width="12.6640625" customWidth="1"/>
    <col min="15" max="15" width="9.5546875" bestFit="1" customWidth="1"/>
    <col min="16" max="16" width="11.109375" bestFit="1" customWidth="1"/>
  </cols>
  <sheetData>
    <row r="1" spans="1:14" x14ac:dyDescent="0.3">
      <c r="A1" t="s">
        <v>0</v>
      </c>
      <c r="B1" t="s">
        <v>1</v>
      </c>
      <c r="C1" t="s">
        <v>1161</v>
      </c>
      <c r="D1" t="s">
        <v>2</v>
      </c>
      <c r="E1" t="s">
        <v>3</v>
      </c>
      <c r="F1" t="s">
        <v>4</v>
      </c>
      <c r="G1" t="s">
        <v>5</v>
      </c>
      <c r="H1" t="s">
        <v>6</v>
      </c>
      <c r="I1" s="2" t="s">
        <v>7</v>
      </c>
      <c r="J1" t="s">
        <v>8</v>
      </c>
      <c r="K1" t="s">
        <v>9</v>
      </c>
      <c r="L1" t="s">
        <v>10</v>
      </c>
      <c r="M1" t="s">
        <v>11</v>
      </c>
      <c r="N1" t="s">
        <v>1162</v>
      </c>
    </row>
    <row r="2" spans="1:14" x14ac:dyDescent="0.3">
      <c r="A2" t="s">
        <v>12</v>
      </c>
      <c r="B2" s="1">
        <v>45625</v>
      </c>
      <c r="C2" s="1" t="str">
        <f t="shared" ref="C2:C65" si="0">TEXT(B2,"mmmm")</f>
        <v>November</v>
      </c>
      <c r="D2" t="s">
        <v>13</v>
      </c>
      <c r="E2" t="s">
        <v>14</v>
      </c>
      <c r="F2" t="s">
        <v>15</v>
      </c>
      <c r="G2">
        <v>1</v>
      </c>
      <c r="H2">
        <v>718.62</v>
      </c>
      <c r="I2" s="3">
        <v>0</v>
      </c>
      <c r="J2" t="s">
        <v>16</v>
      </c>
      <c r="K2" t="s">
        <v>17</v>
      </c>
      <c r="L2" t="s">
        <v>18</v>
      </c>
      <c r="M2">
        <v>718.62</v>
      </c>
      <c r="N2" t="str">
        <f t="shared" ref="N2:N65" si="1">IF(M2&gt;20000,"High",IF(M2&gt;10000,"Medium","Low"))</f>
        <v>Low</v>
      </c>
    </row>
    <row r="3" spans="1:14" x14ac:dyDescent="0.3">
      <c r="A3" t="s">
        <v>19</v>
      </c>
      <c r="B3" s="1">
        <v>45322</v>
      </c>
      <c r="C3" s="1" t="str">
        <f t="shared" si="0"/>
        <v>January</v>
      </c>
      <c r="D3" t="s">
        <v>20</v>
      </c>
      <c r="E3" t="s">
        <v>21</v>
      </c>
      <c r="F3" t="s">
        <v>15</v>
      </c>
      <c r="G3">
        <v>5</v>
      </c>
      <c r="H3">
        <v>1121.8499999999999</v>
      </c>
      <c r="I3" s="3">
        <v>0.1</v>
      </c>
      <c r="J3" t="s">
        <v>22</v>
      </c>
      <c r="K3" t="s">
        <v>23</v>
      </c>
      <c r="L3" t="s">
        <v>18</v>
      </c>
      <c r="M3">
        <v>5048.32</v>
      </c>
      <c r="N3" t="str">
        <f t="shared" si="1"/>
        <v>Low</v>
      </c>
    </row>
    <row r="4" spans="1:14" x14ac:dyDescent="0.3">
      <c r="A4" t="s">
        <v>24</v>
      </c>
      <c r="B4" s="1">
        <v>45506</v>
      </c>
      <c r="C4" s="1" t="str">
        <f t="shared" si="0"/>
        <v>August</v>
      </c>
      <c r="D4" t="s">
        <v>25</v>
      </c>
      <c r="E4" t="s">
        <v>26</v>
      </c>
      <c r="F4" t="s">
        <v>27</v>
      </c>
      <c r="G4">
        <v>2</v>
      </c>
      <c r="H4">
        <v>4394.38</v>
      </c>
      <c r="I4" s="3">
        <v>0.1</v>
      </c>
      <c r="J4" t="s">
        <v>28</v>
      </c>
      <c r="K4" t="s">
        <v>29</v>
      </c>
      <c r="L4" t="s">
        <v>18</v>
      </c>
      <c r="M4">
        <v>7909.88</v>
      </c>
      <c r="N4" t="str">
        <f t="shared" si="1"/>
        <v>Low</v>
      </c>
    </row>
    <row r="5" spans="1:14" x14ac:dyDescent="0.3">
      <c r="A5" t="s">
        <v>30</v>
      </c>
      <c r="B5" s="1">
        <v>45608</v>
      </c>
      <c r="C5" s="1" t="str">
        <f t="shared" si="0"/>
        <v>November</v>
      </c>
      <c r="D5" t="s">
        <v>25</v>
      </c>
      <c r="E5" t="s">
        <v>31</v>
      </c>
      <c r="F5" t="s">
        <v>32</v>
      </c>
      <c r="G5">
        <v>2</v>
      </c>
      <c r="H5">
        <v>4046.85</v>
      </c>
      <c r="I5" s="3">
        <v>0.2</v>
      </c>
      <c r="J5" t="s">
        <v>16</v>
      </c>
      <c r="K5" t="s">
        <v>23</v>
      </c>
      <c r="L5" t="s">
        <v>33</v>
      </c>
      <c r="M5">
        <v>6474.96</v>
      </c>
      <c r="N5" t="str">
        <f t="shared" si="1"/>
        <v>Low</v>
      </c>
    </row>
    <row r="6" spans="1:14" x14ac:dyDescent="0.3">
      <c r="A6" t="s">
        <v>34</v>
      </c>
      <c r="B6" s="1">
        <v>45560</v>
      </c>
      <c r="C6" s="1" t="str">
        <f t="shared" si="0"/>
        <v>September</v>
      </c>
      <c r="D6" t="s">
        <v>35</v>
      </c>
      <c r="E6" t="s">
        <v>36</v>
      </c>
      <c r="F6" t="s">
        <v>27</v>
      </c>
      <c r="G6">
        <v>4</v>
      </c>
      <c r="H6">
        <v>7019.83</v>
      </c>
      <c r="I6" s="3">
        <v>0.25</v>
      </c>
      <c r="J6" t="s">
        <v>16</v>
      </c>
      <c r="K6" t="s">
        <v>29</v>
      </c>
      <c r="L6" t="s">
        <v>33</v>
      </c>
      <c r="M6">
        <v>21059.49</v>
      </c>
      <c r="N6" t="str">
        <f t="shared" si="1"/>
        <v>High</v>
      </c>
    </row>
    <row r="7" spans="1:14" x14ac:dyDescent="0.3">
      <c r="A7" t="s">
        <v>37</v>
      </c>
      <c r="B7" s="1">
        <v>45634</v>
      </c>
      <c r="C7" s="1" t="str">
        <f t="shared" si="0"/>
        <v>December</v>
      </c>
      <c r="D7" t="s">
        <v>38</v>
      </c>
      <c r="E7" t="s">
        <v>39</v>
      </c>
      <c r="F7" t="s">
        <v>32</v>
      </c>
      <c r="G7">
        <v>1</v>
      </c>
      <c r="H7">
        <v>6151.88</v>
      </c>
      <c r="I7" s="3">
        <v>0.15</v>
      </c>
      <c r="J7" t="s">
        <v>16</v>
      </c>
      <c r="K7" t="s">
        <v>40</v>
      </c>
      <c r="L7" t="s">
        <v>33</v>
      </c>
      <c r="M7">
        <v>5229.1000000000004</v>
      </c>
      <c r="N7" t="str">
        <f t="shared" si="1"/>
        <v>Low</v>
      </c>
    </row>
    <row r="8" spans="1:14" x14ac:dyDescent="0.3">
      <c r="A8" t="s">
        <v>41</v>
      </c>
      <c r="B8" s="1">
        <v>45651</v>
      </c>
      <c r="C8" s="1" t="str">
        <f t="shared" si="0"/>
        <v>December</v>
      </c>
      <c r="D8" t="s">
        <v>38</v>
      </c>
      <c r="E8" t="s">
        <v>42</v>
      </c>
      <c r="F8" t="s">
        <v>32</v>
      </c>
      <c r="G8">
        <v>3</v>
      </c>
      <c r="H8">
        <v>5229.96</v>
      </c>
      <c r="I8" s="3">
        <v>0.25</v>
      </c>
      <c r="J8" t="s">
        <v>16</v>
      </c>
      <c r="K8" t="s">
        <v>29</v>
      </c>
      <c r="L8" t="s">
        <v>33</v>
      </c>
      <c r="M8">
        <v>11767.41</v>
      </c>
      <c r="N8" t="str">
        <f t="shared" si="1"/>
        <v>Medium</v>
      </c>
    </row>
    <row r="9" spans="1:14" x14ac:dyDescent="0.3">
      <c r="A9" t="s">
        <v>43</v>
      </c>
      <c r="B9" s="1">
        <v>45322</v>
      </c>
      <c r="C9" s="1" t="str">
        <f t="shared" si="0"/>
        <v>January</v>
      </c>
      <c r="D9" t="s">
        <v>25</v>
      </c>
      <c r="E9" t="s">
        <v>31</v>
      </c>
      <c r="F9" t="s">
        <v>44</v>
      </c>
      <c r="G9">
        <v>2</v>
      </c>
      <c r="H9">
        <v>6180.63</v>
      </c>
      <c r="I9" s="3">
        <v>0.05</v>
      </c>
      <c r="J9" t="s">
        <v>22</v>
      </c>
      <c r="K9" t="s">
        <v>17</v>
      </c>
      <c r="L9" t="s">
        <v>33</v>
      </c>
      <c r="M9">
        <v>11743.2</v>
      </c>
      <c r="N9" t="str">
        <f t="shared" si="1"/>
        <v>Medium</v>
      </c>
    </row>
    <row r="10" spans="1:14" x14ac:dyDescent="0.3">
      <c r="A10" t="s">
        <v>45</v>
      </c>
      <c r="B10" s="1">
        <v>45512</v>
      </c>
      <c r="C10" s="1" t="str">
        <f t="shared" si="0"/>
        <v>August</v>
      </c>
      <c r="D10" t="s">
        <v>25</v>
      </c>
      <c r="E10" t="s">
        <v>46</v>
      </c>
      <c r="F10" t="s">
        <v>47</v>
      </c>
      <c r="G10">
        <v>5</v>
      </c>
      <c r="H10">
        <v>2335.61</v>
      </c>
      <c r="I10" s="3">
        <v>0.2</v>
      </c>
      <c r="J10" t="s">
        <v>16</v>
      </c>
      <c r="K10" t="s">
        <v>23</v>
      </c>
      <c r="L10" t="s">
        <v>33</v>
      </c>
      <c r="M10">
        <v>9342.44</v>
      </c>
      <c r="N10" t="str">
        <f t="shared" si="1"/>
        <v>Low</v>
      </c>
    </row>
    <row r="11" spans="1:14" x14ac:dyDescent="0.3">
      <c r="A11" t="s">
        <v>48</v>
      </c>
      <c r="B11" s="1">
        <v>45593</v>
      </c>
      <c r="C11" s="1" t="str">
        <f t="shared" si="0"/>
        <v>October</v>
      </c>
      <c r="D11" t="s">
        <v>20</v>
      </c>
      <c r="E11" t="s">
        <v>21</v>
      </c>
      <c r="F11" t="s">
        <v>44</v>
      </c>
      <c r="G11">
        <v>2</v>
      </c>
      <c r="H11">
        <v>2212.56</v>
      </c>
      <c r="I11" s="3">
        <v>0</v>
      </c>
      <c r="J11" t="s">
        <v>16</v>
      </c>
      <c r="K11" t="s">
        <v>49</v>
      </c>
      <c r="L11" t="s">
        <v>18</v>
      </c>
      <c r="M11">
        <v>4425.12</v>
      </c>
      <c r="N11" t="str">
        <f t="shared" si="1"/>
        <v>Low</v>
      </c>
    </row>
    <row r="12" spans="1:14" x14ac:dyDescent="0.3">
      <c r="A12" t="s">
        <v>50</v>
      </c>
      <c r="B12" s="1">
        <v>45495</v>
      </c>
      <c r="C12" s="1" t="str">
        <f t="shared" si="0"/>
        <v>July</v>
      </c>
      <c r="D12" t="s">
        <v>38</v>
      </c>
      <c r="E12" t="s">
        <v>51</v>
      </c>
      <c r="F12" t="s">
        <v>15</v>
      </c>
      <c r="G12">
        <v>4</v>
      </c>
      <c r="H12">
        <v>3243.84</v>
      </c>
      <c r="I12" s="3">
        <v>0.25</v>
      </c>
      <c r="J12" t="s">
        <v>22</v>
      </c>
      <c r="K12" t="s">
        <v>40</v>
      </c>
      <c r="L12" t="s">
        <v>33</v>
      </c>
      <c r="M12">
        <v>9731.52</v>
      </c>
      <c r="N12" t="str">
        <f t="shared" si="1"/>
        <v>Low</v>
      </c>
    </row>
    <row r="13" spans="1:14" x14ac:dyDescent="0.3">
      <c r="A13" t="s">
        <v>52</v>
      </c>
      <c r="B13" s="1">
        <v>45292</v>
      </c>
      <c r="C13" s="1" t="str">
        <f t="shared" si="0"/>
        <v>January</v>
      </c>
      <c r="D13" t="s">
        <v>25</v>
      </c>
      <c r="E13" t="s">
        <v>31</v>
      </c>
      <c r="F13" t="s">
        <v>53</v>
      </c>
      <c r="G13">
        <v>5</v>
      </c>
      <c r="H13">
        <v>1337.43</v>
      </c>
      <c r="I13" s="3">
        <v>0</v>
      </c>
      <c r="J13" t="s">
        <v>16</v>
      </c>
      <c r="K13" t="s">
        <v>29</v>
      </c>
      <c r="L13" t="s">
        <v>33</v>
      </c>
      <c r="M13">
        <v>6687.15</v>
      </c>
      <c r="N13" t="str">
        <f t="shared" si="1"/>
        <v>Low</v>
      </c>
    </row>
    <row r="14" spans="1:14" x14ac:dyDescent="0.3">
      <c r="A14" t="s">
        <v>54</v>
      </c>
      <c r="B14" s="1">
        <v>45354</v>
      </c>
      <c r="C14" s="1" t="str">
        <f t="shared" si="0"/>
        <v>March</v>
      </c>
      <c r="D14" t="s">
        <v>25</v>
      </c>
      <c r="E14" t="s">
        <v>46</v>
      </c>
      <c r="F14" t="s">
        <v>44</v>
      </c>
      <c r="G14">
        <v>1</v>
      </c>
      <c r="H14">
        <v>6814.15</v>
      </c>
      <c r="I14" s="3">
        <v>0.25</v>
      </c>
      <c r="J14" t="s">
        <v>55</v>
      </c>
      <c r="K14" t="s">
        <v>29</v>
      </c>
      <c r="L14" t="s">
        <v>33</v>
      </c>
      <c r="M14">
        <v>5110.6099999999997</v>
      </c>
      <c r="N14" t="str">
        <f t="shared" si="1"/>
        <v>Low</v>
      </c>
    </row>
    <row r="15" spans="1:14" x14ac:dyDescent="0.3">
      <c r="A15" t="s">
        <v>56</v>
      </c>
      <c r="B15" s="1">
        <v>45397</v>
      </c>
      <c r="C15" s="1" t="str">
        <f t="shared" si="0"/>
        <v>April</v>
      </c>
      <c r="D15" t="s">
        <v>20</v>
      </c>
      <c r="E15" t="s">
        <v>57</v>
      </c>
      <c r="F15" t="s">
        <v>32</v>
      </c>
      <c r="G15">
        <v>5</v>
      </c>
      <c r="H15">
        <v>2989.76</v>
      </c>
      <c r="I15" s="3">
        <v>0</v>
      </c>
      <c r="J15" t="s">
        <v>28</v>
      </c>
      <c r="K15" t="s">
        <v>49</v>
      </c>
      <c r="L15" t="s">
        <v>33</v>
      </c>
      <c r="M15">
        <v>14948.8</v>
      </c>
      <c r="N15" t="str">
        <f t="shared" si="1"/>
        <v>Medium</v>
      </c>
    </row>
    <row r="16" spans="1:14" x14ac:dyDescent="0.3">
      <c r="A16" t="s">
        <v>58</v>
      </c>
      <c r="B16" s="1">
        <v>45564</v>
      </c>
      <c r="C16" s="1" t="str">
        <f t="shared" si="0"/>
        <v>September</v>
      </c>
      <c r="D16" t="s">
        <v>20</v>
      </c>
      <c r="E16" t="s">
        <v>59</v>
      </c>
      <c r="F16" t="s">
        <v>1160</v>
      </c>
      <c r="G16">
        <v>5</v>
      </c>
      <c r="H16">
        <v>6265.58</v>
      </c>
      <c r="I16" s="3">
        <v>0.15</v>
      </c>
      <c r="J16" t="s">
        <v>22</v>
      </c>
      <c r="K16" t="s">
        <v>23</v>
      </c>
      <c r="L16" t="s">
        <v>33</v>
      </c>
      <c r="M16">
        <v>26628.720000000001</v>
      </c>
      <c r="N16" t="str">
        <f t="shared" si="1"/>
        <v>High</v>
      </c>
    </row>
    <row r="17" spans="1:14" x14ac:dyDescent="0.3">
      <c r="A17" t="s">
        <v>60</v>
      </c>
      <c r="B17" s="1">
        <v>45474</v>
      </c>
      <c r="C17" s="1" t="str">
        <f t="shared" si="0"/>
        <v>July</v>
      </c>
      <c r="D17" t="s">
        <v>20</v>
      </c>
      <c r="E17" t="s">
        <v>61</v>
      </c>
      <c r="F17" t="s">
        <v>44</v>
      </c>
      <c r="G17">
        <v>6</v>
      </c>
      <c r="H17">
        <v>377.49</v>
      </c>
      <c r="I17" s="3">
        <v>0</v>
      </c>
      <c r="J17" t="s">
        <v>16</v>
      </c>
      <c r="K17" t="s">
        <v>29</v>
      </c>
      <c r="L17" t="s">
        <v>33</v>
      </c>
      <c r="M17">
        <v>2264.94</v>
      </c>
      <c r="N17" t="str">
        <f t="shared" si="1"/>
        <v>Low</v>
      </c>
    </row>
    <row r="18" spans="1:14" x14ac:dyDescent="0.3">
      <c r="A18" t="s">
        <v>62</v>
      </c>
      <c r="B18" s="1">
        <v>45408</v>
      </c>
      <c r="C18" s="1" t="str">
        <f t="shared" si="0"/>
        <v>April</v>
      </c>
      <c r="D18" t="s">
        <v>35</v>
      </c>
      <c r="E18" t="s">
        <v>63</v>
      </c>
      <c r="F18" t="s">
        <v>53</v>
      </c>
      <c r="G18">
        <v>4</v>
      </c>
      <c r="H18">
        <v>1694.14</v>
      </c>
      <c r="I18" s="3">
        <v>0.1</v>
      </c>
      <c r="J18" t="s">
        <v>55</v>
      </c>
      <c r="K18" t="s">
        <v>29</v>
      </c>
      <c r="L18" t="s">
        <v>18</v>
      </c>
      <c r="M18">
        <v>6098.9</v>
      </c>
      <c r="N18" t="str">
        <f t="shared" si="1"/>
        <v>Low</v>
      </c>
    </row>
    <row r="19" spans="1:14" x14ac:dyDescent="0.3">
      <c r="A19" t="s">
        <v>64</v>
      </c>
      <c r="B19" s="1">
        <v>45536</v>
      </c>
      <c r="C19" s="1" t="str">
        <f t="shared" si="0"/>
        <v>September</v>
      </c>
      <c r="D19" t="s">
        <v>35</v>
      </c>
      <c r="E19" t="s">
        <v>65</v>
      </c>
      <c r="F19" t="s">
        <v>1160</v>
      </c>
      <c r="G19">
        <v>2</v>
      </c>
      <c r="H19">
        <v>3556.31</v>
      </c>
      <c r="I19" s="3">
        <v>0.15</v>
      </c>
      <c r="J19" t="s">
        <v>16</v>
      </c>
      <c r="K19" t="s">
        <v>40</v>
      </c>
      <c r="L19" t="s">
        <v>33</v>
      </c>
      <c r="M19">
        <v>6045.73</v>
      </c>
      <c r="N19" t="str">
        <f t="shared" si="1"/>
        <v>Low</v>
      </c>
    </row>
    <row r="20" spans="1:14" x14ac:dyDescent="0.3">
      <c r="A20" t="s">
        <v>66</v>
      </c>
      <c r="B20" s="1">
        <v>45369</v>
      </c>
      <c r="C20" s="1" t="str">
        <f t="shared" si="0"/>
        <v>March</v>
      </c>
      <c r="D20" t="s">
        <v>20</v>
      </c>
      <c r="E20" t="s">
        <v>61</v>
      </c>
      <c r="F20" t="s">
        <v>32</v>
      </c>
      <c r="G20">
        <v>5</v>
      </c>
      <c r="H20">
        <v>7253.09</v>
      </c>
      <c r="I20" s="3">
        <v>0.05</v>
      </c>
      <c r="J20" t="s">
        <v>28</v>
      </c>
      <c r="K20" t="s">
        <v>49</v>
      </c>
      <c r="L20" t="s">
        <v>33</v>
      </c>
      <c r="M20">
        <v>34452.18</v>
      </c>
      <c r="N20" t="str">
        <f t="shared" si="1"/>
        <v>High</v>
      </c>
    </row>
    <row r="21" spans="1:14" x14ac:dyDescent="0.3">
      <c r="A21" t="s">
        <v>67</v>
      </c>
      <c r="B21" s="1">
        <v>45561</v>
      </c>
      <c r="C21" s="1" t="str">
        <f t="shared" si="0"/>
        <v>September</v>
      </c>
      <c r="D21" t="s">
        <v>35</v>
      </c>
      <c r="E21" t="s">
        <v>68</v>
      </c>
      <c r="F21" t="s">
        <v>53</v>
      </c>
      <c r="G21">
        <v>6</v>
      </c>
      <c r="H21">
        <v>7478.95</v>
      </c>
      <c r="I21" s="3">
        <v>0.2</v>
      </c>
      <c r="J21" t="s">
        <v>16</v>
      </c>
      <c r="K21" t="s">
        <v>23</v>
      </c>
      <c r="L21" t="s">
        <v>33</v>
      </c>
      <c r="M21">
        <v>35898.959999999999</v>
      </c>
      <c r="N21" t="str">
        <f t="shared" si="1"/>
        <v>High</v>
      </c>
    </row>
    <row r="22" spans="1:14" x14ac:dyDescent="0.3">
      <c r="A22" t="s">
        <v>69</v>
      </c>
      <c r="B22" s="1">
        <v>45359</v>
      </c>
      <c r="C22" s="1" t="str">
        <f t="shared" si="0"/>
        <v>March</v>
      </c>
      <c r="D22" t="s">
        <v>13</v>
      </c>
      <c r="E22" t="s">
        <v>70</v>
      </c>
      <c r="F22" t="s">
        <v>15</v>
      </c>
      <c r="G22">
        <v>1</v>
      </c>
      <c r="H22">
        <v>7293.63</v>
      </c>
      <c r="I22" s="3">
        <v>0.15</v>
      </c>
      <c r="J22" t="s">
        <v>55</v>
      </c>
      <c r="K22" t="s">
        <v>49</v>
      </c>
      <c r="L22" t="s">
        <v>33</v>
      </c>
      <c r="M22">
        <v>6199.59</v>
      </c>
      <c r="N22" t="str">
        <f t="shared" si="1"/>
        <v>Low</v>
      </c>
    </row>
    <row r="23" spans="1:14" x14ac:dyDescent="0.3">
      <c r="A23" t="s">
        <v>71</v>
      </c>
      <c r="B23" s="1">
        <v>45517</v>
      </c>
      <c r="C23" s="1" t="str">
        <f t="shared" si="0"/>
        <v>August</v>
      </c>
      <c r="D23" t="s">
        <v>25</v>
      </c>
      <c r="E23" t="s">
        <v>26</v>
      </c>
      <c r="F23" t="s">
        <v>32</v>
      </c>
      <c r="G23">
        <v>2</v>
      </c>
      <c r="H23">
        <v>4927.1499999999996</v>
      </c>
      <c r="I23" s="3">
        <v>0.05</v>
      </c>
      <c r="J23" t="s">
        <v>16</v>
      </c>
      <c r="K23" t="s">
        <v>49</v>
      </c>
      <c r="L23" t="s">
        <v>33</v>
      </c>
      <c r="M23">
        <v>9361.58</v>
      </c>
      <c r="N23" t="str">
        <f t="shared" si="1"/>
        <v>Low</v>
      </c>
    </row>
    <row r="24" spans="1:14" x14ac:dyDescent="0.3">
      <c r="A24" t="s">
        <v>72</v>
      </c>
      <c r="B24" s="1">
        <v>45419</v>
      </c>
      <c r="C24" s="1" t="str">
        <f t="shared" si="0"/>
        <v>May</v>
      </c>
      <c r="D24" t="s">
        <v>35</v>
      </c>
      <c r="E24" t="s">
        <v>36</v>
      </c>
      <c r="F24" t="s">
        <v>32</v>
      </c>
      <c r="G24">
        <v>2</v>
      </c>
      <c r="H24">
        <v>2323.8000000000002</v>
      </c>
      <c r="I24" s="3">
        <v>0</v>
      </c>
      <c r="J24" t="s">
        <v>28</v>
      </c>
      <c r="K24" t="s">
        <v>29</v>
      </c>
      <c r="L24" t="s">
        <v>33</v>
      </c>
      <c r="M24">
        <v>4647.6000000000004</v>
      </c>
      <c r="N24" t="str">
        <f t="shared" si="1"/>
        <v>Low</v>
      </c>
    </row>
    <row r="25" spans="1:14" x14ac:dyDescent="0.3">
      <c r="A25" t="s">
        <v>73</v>
      </c>
      <c r="B25" s="1">
        <v>45551</v>
      </c>
      <c r="C25" s="1" t="str">
        <f t="shared" si="0"/>
        <v>September</v>
      </c>
      <c r="D25" t="s">
        <v>13</v>
      </c>
      <c r="E25" t="s">
        <v>74</v>
      </c>
      <c r="F25" t="s">
        <v>44</v>
      </c>
      <c r="G25">
        <v>2</v>
      </c>
      <c r="H25">
        <v>5638.86</v>
      </c>
      <c r="I25" s="3">
        <v>0.1</v>
      </c>
      <c r="J25" t="s">
        <v>28</v>
      </c>
      <c r="K25" t="s">
        <v>17</v>
      </c>
      <c r="L25" t="s">
        <v>33</v>
      </c>
      <c r="M25">
        <v>10149.950000000001</v>
      </c>
      <c r="N25" t="str">
        <f t="shared" si="1"/>
        <v>Medium</v>
      </c>
    </row>
    <row r="26" spans="1:14" x14ac:dyDescent="0.3">
      <c r="A26" t="s">
        <v>75</v>
      </c>
      <c r="B26" s="1">
        <v>45511</v>
      </c>
      <c r="C26" s="1" t="str">
        <f t="shared" si="0"/>
        <v>August</v>
      </c>
      <c r="D26" t="s">
        <v>13</v>
      </c>
      <c r="E26" t="s">
        <v>76</v>
      </c>
      <c r="F26" t="s">
        <v>1160</v>
      </c>
      <c r="G26">
        <v>1</v>
      </c>
      <c r="H26">
        <v>1819.61</v>
      </c>
      <c r="I26" s="3">
        <v>0.1</v>
      </c>
      <c r="J26" t="s">
        <v>16</v>
      </c>
      <c r="K26" t="s">
        <v>23</v>
      </c>
      <c r="L26" t="s">
        <v>33</v>
      </c>
      <c r="M26">
        <v>1637.65</v>
      </c>
      <c r="N26" t="str">
        <f t="shared" si="1"/>
        <v>Low</v>
      </c>
    </row>
    <row r="27" spans="1:14" x14ac:dyDescent="0.3">
      <c r="A27" t="s">
        <v>77</v>
      </c>
      <c r="B27" s="1">
        <v>45340</v>
      </c>
      <c r="C27" s="1" t="str">
        <f t="shared" si="0"/>
        <v>February</v>
      </c>
      <c r="D27" t="s">
        <v>20</v>
      </c>
      <c r="E27" t="s">
        <v>78</v>
      </c>
      <c r="F27" t="s">
        <v>1160</v>
      </c>
      <c r="G27">
        <v>4</v>
      </c>
      <c r="H27">
        <v>7096.72</v>
      </c>
      <c r="I27" s="3">
        <v>0.05</v>
      </c>
      <c r="J27" t="s">
        <v>22</v>
      </c>
      <c r="K27" t="s">
        <v>29</v>
      </c>
      <c r="L27" t="s">
        <v>33</v>
      </c>
      <c r="M27">
        <v>26967.54</v>
      </c>
      <c r="N27" t="str">
        <f t="shared" si="1"/>
        <v>High</v>
      </c>
    </row>
    <row r="28" spans="1:14" x14ac:dyDescent="0.3">
      <c r="A28" t="s">
        <v>79</v>
      </c>
      <c r="B28" s="1">
        <v>45339</v>
      </c>
      <c r="C28" s="1" t="str">
        <f t="shared" si="0"/>
        <v>February</v>
      </c>
      <c r="D28" t="s">
        <v>20</v>
      </c>
      <c r="E28" t="s">
        <v>59</v>
      </c>
      <c r="F28" t="s">
        <v>80</v>
      </c>
      <c r="G28">
        <v>6</v>
      </c>
      <c r="H28">
        <v>3022.73</v>
      </c>
      <c r="I28" s="3">
        <v>0.15</v>
      </c>
      <c r="J28" t="s">
        <v>28</v>
      </c>
      <c r="K28" t="s">
        <v>29</v>
      </c>
      <c r="L28" t="s">
        <v>18</v>
      </c>
      <c r="M28">
        <v>15415.92</v>
      </c>
      <c r="N28" t="str">
        <f t="shared" si="1"/>
        <v>Medium</v>
      </c>
    </row>
    <row r="29" spans="1:14" x14ac:dyDescent="0.3">
      <c r="A29" t="s">
        <v>81</v>
      </c>
      <c r="B29" s="1">
        <v>45335</v>
      </c>
      <c r="C29" s="1" t="str">
        <f t="shared" si="0"/>
        <v>February</v>
      </c>
      <c r="D29" t="s">
        <v>35</v>
      </c>
      <c r="E29" t="s">
        <v>63</v>
      </c>
      <c r="F29" t="s">
        <v>53</v>
      </c>
      <c r="G29">
        <v>3</v>
      </c>
      <c r="H29">
        <v>2284.58</v>
      </c>
      <c r="I29" s="3">
        <v>0.05</v>
      </c>
      <c r="J29" t="s">
        <v>16</v>
      </c>
      <c r="K29" t="s">
        <v>29</v>
      </c>
      <c r="L29" t="s">
        <v>33</v>
      </c>
      <c r="M29">
        <v>6511.05</v>
      </c>
      <c r="N29" t="str">
        <f t="shared" si="1"/>
        <v>Low</v>
      </c>
    </row>
    <row r="30" spans="1:14" x14ac:dyDescent="0.3">
      <c r="A30" t="s">
        <v>82</v>
      </c>
      <c r="B30" s="1">
        <v>45650</v>
      </c>
      <c r="C30" s="1" t="str">
        <f t="shared" si="0"/>
        <v>December</v>
      </c>
      <c r="D30" t="s">
        <v>20</v>
      </c>
      <c r="E30" t="s">
        <v>57</v>
      </c>
      <c r="F30" t="s">
        <v>44</v>
      </c>
      <c r="G30">
        <v>3</v>
      </c>
      <c r="H30">
        <v>852.28</v>
      </c>
      <c r="I30" s="3">
        <v>0</v>
      </c>
      <c r="J30" t="s">
        <v>22</v>
      </c>
      <c r="K30" t="s">
        <v>40</v>
      </c>
      <c r="L30" t="s">
        <v>33</v>
      </c>
      <c r="M30">
        <f>Orders[[#This Row],[Quantity]]*Orders[[#This Row],[UnitPrice]]-Orders[[#This Row],[Discount%]]</f>
        <v>2556.84</v>
      </c>
      <c r="N30" t="str">
        <f t="shared" si="1"/>
        <v>Low</v>
      </c>
    </row>
    <row r="31" spans="1:14" x14ac:dyDescent="0.3">
      <c r="A31" t="s">
        <v>83</v>
      </c>
      <c r="B31" s="1">
        <v>45326</v>
      </c>
      <c r="C31" s="1" t="str">
        <f t="shared" si="0"/>
        <v>February</v>
      </c>
      <c r="D31" t="s">
        <v>35</v>
      </c>
      <c r="E31" t="s">
        <v>36</v>
      </c>
      <c r="F31" t="s">
        <v>1160</v>
      </c>
      <c r="G31">
        <v>3</v>
      </c>
      <c r="H31">
        <v>6922.78</v>
      </c>
      <c r="I31" s="3">
        <v>0.25</v>
      </c>
      <c r="J31" t="s">
        <v>16</v>
      </c>
      <c r="K31" t="s">
        <v>23</v>
      </c>
      <c r="L31" t="s">
        <v>18</v>
      </c>
      <c r="M31">
        <v>15576.26</v>
      </c>
      <c r="N31" t="str">
        <f t="shared" si="1"/>
        <v>Medium</v>
      </c>
    </row>
    <row r="32" spans="1:14" x14ac:dyDescent="0.3">
      <c r="A32" t="s">
        <v>84</v>
      </c>
      <c r="B32" s="1">
        <v>45374</v>
      </c>
      <c r="C32" s="1" t="str">
        <f t="shared" si="0"/>
        <v>March</v>
      </c>
      <c r="D32" t="s">
        <v>25</v>
      </c>
      <c r="E32" t="s">
        <v>26</v>
      </c>
      <c r="F32" t="s">
        <v>53</v>
      </c>
      <c r="G32">
        <v>3</v>
      </c>
      <c r="H32">
        <v>545.48</v>
      </c>
      <c r="I32" s="3">
        <v>0.1</v>
      </c>
      <c r="J32" t="s">
        <v>16</v>
      </c>
      <c r="K32" t="s">
        <v>23</v>
      </c>
      <c r="L32" t="s">
        <v>33</v>
      </c>
      <c r="M32">
        <v>1472.8</v>
      </c>
      <c r="N32" t="str">
        <f t="shared" si="1"/>
        <v>Low</v>
      </c>
    </row>
    <row r="33" spans="1:14" x14ac:dyDescent="0.3">
      <c r="A33" t="s">
        <v>85</v>
      </c>
      <c r="B33" s="1">
        <v>45310</v>
      </c>
      <c r="C33" s="1" t="str">
        <f t="shared" si="0"/>
        <v>January</v>
      </c>
      <c r="D33" t="s">
        <v>13</v>
      </c>
      <c r="E33" t="s">
        <v>76</v>
      </c>
      <c r="F33" t="s">
        <v>27</v>
      </c>
      <c r="G33">
        <v>1</v>
      </c>
      <c r="H33">
        <v>294.70999999999998</v>
      </c>
      <c r="I33" s="3">
        <v>0.1</v>
      </c>
      <c r="J33" t="s">
        <v>28</v>
      </c>
      <c r="K33" t="s">
        <v>17</v>
      </c>
      <c r="L33" t="s">
        <v>33</v>
      </c>
      <c r="M33">
        <v>265.24</v>
      </c>
      <c r="N33" t="str">
        <f t="shared" si="1"/>
        <v>Low</v>
      </c>
    </row>
    <row r="34" spans="1:14" x14ac:dyDescent="0.3">
      <c r="A34" t="s">
        <v>86</v>
      </c>
      <c r="B34" s="1">
        <v>45644</v>
      </c>
      <c r="C34" s="1" t="str">
        <f t="shared" si="0"/>
        <v>December</v>
      </c>
      <c r="D34" t="s">
        <v>25</v>
      </c>
      <c r="E34" t="s">
        <v>87</v>
      </c>
      <c r="F34" t="s">
        <v>27</v>
      </c>
      <c r="G34">
        <v>2</v>
      </c>
      <c r="H34">
        <v>7862.16</v>
      </c>
      <c r="I34" s="3">
        <v>0.15</v>
      </c>
      <c r="J34" t="s">
        <v>16</v>
      </c>
      <c r="K34" t="s">
        <v>29</v>
      </c>
      <c r="L34" t="s">
        <v>18</v>
      </c>
      <c r="M34">
        <v>13365.67</v>
      </c>
      <c r="N34" t="str">
        <f t="shared" si="1"/>
        <v>Medium</v>
      </c>
    </row>
    <row r="35" spans="1:14" x14ac:dyDescent="0.3">
      <c r="A35" t="s">
        <v>88</v>
      </c>
      <c r="B35" s="1">
        <v>45612</v>
      </c>
      <c r="C35" s="1" t="str">
        <f t="shared" si="0"/>
        <v>November</v>
      </c>
      <c r="D35" t="s">
        <v>20</v>
      </c>
      <c r="E35" t="s">
        <v>21</v>
      </c>
      <c r="F35" t="s">
        <v>53</v>
      </c>
      <c r="G35">
        <v>6</v>
      </c>
      <c r="H35">
        <v>7056.86</v>
      </c>
      <c r="I35" s="3">
        <v>0.2</v>
      </c>
      <c r="J35" t="s">
        <v>16</v>
      </c>
      <c r="K35" t="s">
        <v>29</v>
      </c>
      <c r="L35" t="s">
        <v>33</v>
      </c>
      <c r="M35">
        <v>33872.93</v>
      </c>
      <c r="N35" t="str">
        <f t="shared" si="1"/>
        <v>High</v>
      </c>
    </row>
    <row r="36" spans="1:14" x14ac:dyDescent="0.3">
      <c r="A36" t="s">
        <v>89</v>
      </c>
      <c r="B36" s="1">
        <v>45386</v>
      </c>
      <c r="C36" s="1" t="str">
        <f t="shared" si="0"/>
        <v>April</v>
      </c>
      <c r="D36" t="s">
        <v>13</v>
      </c>
      <c r="E36" t="s">
        <v>76</v>
      </c>
      <c r="F36" t="s">
        <v>44</v>
      </c>
      <c r="G36">
        <v>2</v>
      </c>
      <c r="H36">
        <v>2261.94</v>
      </c>
      <c r="I36" s="3">
        <v>0</v>
      </c>
      <c r="J36" t="s">
        <v>16</v>
      </c>
      <c r="K36" t="s">
        <v>40</v>
      </c>
      <c r="L36" t="s">
        <v>33</v>
      </c>
      <c r="M36">
        <v>4523.88</v>
      </c>
      <c r="N36" t="str">
        <f t="shared" si="1"/>
        <v>Low</v>
      </c>
    </row>
    <row r="37" spans="1:14" x14ac:dyDescent="0.3">
      <c r="A37" t="s">
        <v>90</v>
      </c>
      <c r="B37" s="1">
        <v>45292</v>
      </c>
      <c r="C37" s="1" t="str">
        <f t="shared" si="0"/>
        <v>January</v>
      </c>
      <c r="D37" t="s">
        <v>20</v>
      </c>
      <c r="E37" t="s">
        <v>59</v>
      </c>
      <c r="F37" t="s">
        <v>47</v>
      </c>
      <c r="G37">
        <v>3</v>
      </c>
      <c r="H37">
        <v>3145.77</v>
      </c>
      <c r="I37" s="3">
        <v>0.25</v>
      </c>
      <c r="J37" t="s">
        <v>16</v>
      </c>
      <c r="K37" t="s">
        <v>29</v>
      </c>
      <c r="L37" t="s">
        <v>18</v>
      </c>
      <c r="M37">
        <f>Orders[[#This Row],[Quantity]]*Orders[[#This Row],[UnitPrice]]-Orders[[#This Row],[Discount%]]</f>
        <v>9437.06</v>
      </c>
      <c r="N37" t="str">
        <f t="shared" si="1"/>
        <v>Low</v>
      </c>
    </row>
    <row r="38" spans="1:14" x14ac:dyDescent="0.3">
      <c r="A38" t="s">
        <v>91</v>
      </c>
      <c r="B38" s="1">
        <v>45493</v>
      </c>
      <c r="C38" s="1" t="str">
        <f t="shared" si="0"/>
        <v>July</v>
      </c>
      <c r="D38" t="s">
        <v>20</v>
      </c>
      <c r="E38" t="s">
        <v>78</v>
      </c>
      <c r="F38" t="s">
        <v>32</v>
      </c>
      <c r="G38">
        <v>1</v>
      </c>
      <c r="H38">
        <v>2502.2199999999998</v>
      </c>
      <c r="I38" s="3">
        <v>0.1</v>
      </c>
      <c r="J38" t="s">
        <v>16</v>
      </c>
      <c r="K38" t="s">
        <v>49</v>
      </c>
      <c r="L38" t="s">
        <v>33</v>
      </c>
      <c r="M38">
        <v>2252</v>
      </c>
      <c r="N38" t="str">
        <f t="shared" si="1"/>
        <v>Low</v>
      </c>
    </row>
    <row r="39" spans="1:14" x14ac:dyDescent="0.3">
      <c r="A39" t="s">
        <v>92</v>
      </c>
      <c r="B39" s="1">
        <v>45437</v>
      </c>
      <c r="C39" s="1" t="str">
        <f t="shared" si="0"/>
        <v>May</v>
      </c>
      <c r="D39" t="s">
        <v>13</v>
      </c>
      <c r="E39" t="s">
        <v>74</v>
      </c>
      <c r="F39" t="s">
        <v>47</v>
      </c>
      <c r="G39">
        <v>6</v>
      </c>
      <c r="H39">
        <v>5006.8500000000004</v>
      </c>
      <c r="I39" s="3">
        <v>0.05</v>
      </c>
      <c r="J39" t="s">
        <v>16</v>
      </c>
      <c r="K39" t="s">
        <v>49</v>
      </c>
      <c r="L39" t="s">
        <v>33</v>
      </c>
      <c r="M39">
        <v>28539.05</v>
      </c>
      <c r="N39" t="str">
        <f t="shared" si="1"/>
        <v>High</v>
      </c>
    </row>
    <row r="40" spans="1:14" x14ac:dyDescent="0.3">
      <c r="A40" t="s">
        <v>93</v>
      </c>
      <c r="B40" s="1">
        <v>45643</v>
      </c>
      <c r="C40" s="1" t="str">
        <f t="shared" si="0"/>
        <v>December</v>
      </c>
      <c r="D40" t="s">
        <v>25</v>
      </c>
      <c r="E40" t="s">
        <v>94</v>
      </c>
      <c r="F40" t="s">
        <v>32</v>
      </c>
      <c r="G40">
        <v>5</v>
      </c>
      <c r="H40">
        <v>6414.04</v>
      </c>
      <c r="I40" s="3">
        <v>0.1</v>
      </c>
      <c r="J40" t="s">
        <v>16</v>
      </c>
      <c r="K40" t="s">
        <v>17</v>
      </c>
      <c r="L40" t="s">
        <v>18</v>
      </c>
      <c r="M40">
        <v>28863.18</v>
      </c>
      <c r="N40" t="str">
        <f t="shared" si="1"/>
        <v>High</v>
      </c>
    </row>
    <row r="41" spans="1:14" x14ac:dyDescent="0.3">
      <c r="A41" t="s">
        <v>95</v>
      </c>
      <c r="B41" s="1">
        <v>45542</v>
      </c>
      <c r="C41" s="1" t="str">
        <f t="shared" si="0"/>
        <v>September</v>
      </c>
      <c r="D41" t="s">
        <v>35</v>
      </c>
      <c r="E41" t="s">
        <v>36</v>
      </c>
      <c r="F41" t="s">
        <v>1160</v>
      </c>
      <c r="G41">
        <v>3</v>
      </c>
      <c r="H41">
        <v>176.02</v>
      </c>
      <c r="I41" s="3">
        <v>0</v>
      </c>
      <c r="J41" t="s">
        <v>22</v>
      </c>
      <c r="K41" t="s">
        <v>17</v>
      </c>
      <c r="L41" t="s">
        <v>33</v>
      </c>
      <c r="M41">
        <v>528.05999999999995</v>
      </c>
      <c r="N41" t="str">
        <f t="shared" si="1"/>
        <v>Low</v>
      </c>
    </row>
    <row r="42" spans="1:14" x14ac:dyDescent="0.3">
      <c r="A42" t="s">
        <v>96</v>
      </c>
      <c r="B42" s="1">
        <v>45397</v>
      </c>
      <c r="C42" s="1" t="str">
        <f t="shared" si="0"/>
        <v>April</v>
      </c>
      <c r="D42" t="s">
        <v>35</v>
      </c>
      <c r="E42" t="s">
        <v>97</v>
      </c>
      <c r="F42" t="s">
        <v>1160</v>
      </c>
      <c r="G42">
        <v>2</v>
      </c>
      <c r="H42">
        <v>5957.65</v>
      </c>
      <c r="I42" s="3">
        <v>0.25</v>
      </c>
      <c r="J42" t="s">
        <v>55</v>
      </c>
      <c r="K42" t="s">
        <v>40</v>
      </c>
      <c r="L42" t="s">
        <v>33</v>
      </c>
      <c r="M42">
        <v>8936.4699999999993</v>
      </c>
      <c r="N42" t="str">
        <f t="shared" si="1"/>
        <v>Low</v>
      </c>
    </row>
    <row r="43" spans="1:14" x14ac:dyDescent="0.3">
      <c r="A43" t="s">
        <v>98</v>
      </c>
      <c r="B43" s="1">
        <v>45461</v>
      </c>
      <c r="C43" s="1" t="str">
        <f t="shared" si="0"/>
        <v>June</v>
      </c>
      <c r="D43" t="s">
        <v>35</v>
      </c>
      <c r="E43" t="s">
        <v>36</v>
      </c>
      <c r="F43" t="s">
        <v>47</v>
      </c>
      <c r="G43">
        <v>3</v>
      </c>
      <c r="H43">
        <v>5264.54</v>
      </c>
      <c r="I43" s="3">
        <v>0.1</v>
      </c>
      <c r="J43" t="s">
        <v>28</v>
      </c>
      <c r="K43" t="s">
        <v>40</v>
      </c>
      <c r="L43" t="s">
        <v>33</v>
      </c>
      <c r="M43">
        <v>14214.26</v>
      </c>
      <c r="N43" t="str">
        <f t="shared" si="1"/>
        <v>Medium</v>
      </c>
    </row>
    <row r="44" spans="1:14" x14ac:dyDescent="0.3">
      <c r="A44" t="s">
        <v>99</v>
      </c>
      <c r="B44" s="1">
        <v>45529</v>
      </c>
      <c r="C44" s="1" t="str">
        <f t="shared" si="0"/>
        <v>August</v>
      </c>
      <c r="D44" t="s">
        <v>38</v>
      </c>
      <c r="E44" t="s">
        <v>100</v>
      </c>
      <c r="F44" t="s">
        <v>27</v>
      </c>
      <c r="G44">
        <v>4</v>
      </c>
      <c r="H44">
        <v>3810.76</v>
      </c>
      <c r="I44" s="3">
        <v>0</v>
      </c>
      <c r="J44" t="s">
        <v>28</v>
      </c>
      <c r="K44" t="s">
        <v>17</v>
      </c>
      <c r="L44" t="s">
        <v>18</v>
      </c>
      <c r="M44">
        <f>Orders[[#This Row],[Quantity]]*Orders[[#This Row],[UnitPrice]]-Orders[[#This Row],[Discount%]]</f>
        <v>15243.04</v>
      </c>
      <c r="N44" t="str">
        <f t="shared" si="1"/>
        <v>Medium</v>
      </c>
    </row>
    <row r="45" spans="1:14" x14ac:dyDescent="0.3">
      <c r="A45" t="s">
        <v>101</v>
      </c>
      <c r="B45" s="1">
        <v>45490</v>
      </c>
      <c r="C45" s="1" t="str">
        <f t="shared" si="0"/>
        <v>July</v>
      </c>
      <c r="D45" t="s">
        <v>25</v>
      </c>
      <c r="E45" t="s">
        <v>87</v>
      </c>
      <c r="F45" t="s">
        <v>27</v>
      </c>
      <c r="G45">
        <v>2</v>
      </c>
      <c r="H45">
        <v>7344.96</v>
      </c>
      <c r="I45" s="3">
        <v>0.1</v>
      </c>
      <c r="J45" t="s">
        <v>16</v>
      </c>
      <c r="K45" t="s">
        <v>23</v>
      </c>
      <c r="L45" t="s">
        <v>33</v>
      </c>
      <c r="M45">
        <v>13220.93</v>
      </c>
      <c r="N45" t="str">
        <f t="shared" si="1"/>
        <v>Medium</v>
      </c>
    </row>
    <row r="46" spans="1:14" x14ac:dyDescent="0.3">
      <c r="A46" t="s">
        <v>102</v>
      </c>
      <c r="B46" s="1">
        <v>45546</v>
      </c>
      <c r="C46" s="1" t="str">
        <f t="shared" si="0"/>
        <v>September</v>
      </c>
      <c r="D46" t="s">
        <v>35</v>
      </c>
      <c r="E46" t="s">
        <v>97</v>
      </c>
      <c r="F46" t="s">
        <v>1160</v>
      </c>
      <c r="G46">
        <v>4</v>
      </c>
      <c r="H46">
        <v>3243.53</v>
      </c>
      <c r="I46" s="3">
        <v>0.05</v>
      </c>
      <c r="J46" t="s">
        <v>16</v>
      </c>
      <c r="K46" t="s">
        <v>17</v>
      </c>
      <c r="L46" t="s">
        <v>33</v>
      </c>
      <c r="M46">
        <v>12325.41</v>
      </c>
      <c r="N46" t="str">
        <f t="shared" si="1"/>
        <v>Medium</v>
      </c>
    </row>
    <row r="47" spans="1:14" x14ac:dyDescent="0.3">
      <c r="A47" t="s">
        <v>103</v>
      </c>
      <c r="B47" s="1">
        <v>45461</v>
      </c>
      <c r="C47" s="1" t="str">
        <f t="shared" si="0"/>
        <v>June</v>
      </c>
      <c r="D47" t="s">
        <v>38</v>
      </c>
      <c r="E47" t="s">
        <v>100</v>
      </c>
      <c r="F47" t="s">
        <v>53</v>
      </c>
      <c r="G47">
        <v>1</v>
      </c>
      <c r="H47">
        <v>2697.7</v>
      </c>
      <c r="I47" s="3">
        <v>0.15</v>
      </c>
      <c r="J47" t="s">
        <v>55</v>
      </c>
      <c r="K47" t="s">
        <v>29</v>
      </c>
      <c r="L47" t="s">
        <v>33</v>
      </c>
      <c r="M47">
        <v>2293.04</v>
      </c>
      <c r="N47" t="str">
        <f t="shared" si="1"/>
        <v>Low</v>
      </c>
    </row>
    <row r="48" spans="1:14" x14ac:dyDescent="0.3">
      <c r="A48" t="s">
        <v>104</v>
      </c>
      <c r="B48" s="1">
        <v>45491</v>
      </c>
      <c r="C48" s="1" t="str">
        <f t="shared" si="0"/>
        <v>July</v>
      </c>
      <c r="D48" t="s">
        <v>13</v>
      </c>
      <c r="E48" t="s">
        <v>76</v>
      </c>
      <c r="F48" t="s">
        <v>15</v>
      </c>
      <c r="G48">
        <v>5</v>
      </c>
      <c r="H48">
        <v>749.75</v>
      </c>
      <c r="I48" s="3">
        <v>0.2</v>
      </c>
      <c r="J48" t="s">
        <v>16</v>
      </c>
      <c r="K48" t="s">
        <v>23</v>
      </c>
      <c r="L48" t="s">
        <v>33</v>
      </c>
      <c r="M48">
        <v>2999</v>
      </c>
      <c r="N48" t="str">
        <f t="shared" si="1"/>
        <v>Low</v>
      </c>
    </row>
    <row r="49" spans="1:14" x14ac:dyDescent="0.3">
      <c r="A49" t="s">
        <v>105</v>
      </c>
      <c r="B49" s="1">
        <v>45389</v>
      </c>
      <c r="C49" s="1" t="str">
        <f t="shared" si="0"/>
        <v>April</v>
      </c>
      <c r="D49" t="s">
        <v>13</v>
      </c>
      <c r="E49" t="s">
        <v>74</v>
      </c>
      <c r="F49" t="s">
        <v>80</v>
      </c>
      <c r="G49">
        <v>3</v>
      </c>
      <c r="H49">
        <v>6313.37</v>
      </c>
      <c r="I49" s="3">
        <v>0.2</v>
      </c>
      <c r="J49" t="s">
        <v>16</v>
      </c>
      <c r="K49" t="s">
        <v>49</v>
      </c>
      <c r="L49" t="s">
        <v>33</v>
      </c>
      <c r="M49">
        <v>15152.09</v>
      </c>
      <c r="N49" t="str">
        <f t="shared" si="1"/>
        <v>Medium</v>
      </c>
    </row>
    <row r="50" spans="1:14" x14ac:dyDescent="0.3">
      <c r="A50" t="s">
        <v>106</v>
      </c>
      <c r="B50" s="1">
        <v>45522</v>
      </c>
      <c r="C50" s="1" t="str">
        <f t="shared" si="0"/>
        <v>August</v>
      </c>
      <c r="D50" t="s">
        <v>35</v>
      </c>
      <c r="E50" t="s">
        <v>68</v>
      </c>
      <c r="F50" t="s">
        <v>15</v>
      </c>
      <c r="G50">
        <v>5</v>
      </c>
      <c r="H50">
        <v>6058.44</v>
      </c>
      <c r="I50" s="3">
        <v>0.1</v>
      </c>
      <c r="J50" t="s">
        <v>55</v>
      </c>
      <c r="K50" t="s">
        <v>29</v>
      </c>
      <c r="L50" t="s">
        <v>33</v>
      </c>
      <c r="M50">
        <v>27262.98</v>
      </c>
      <c r="N50" t="str">
        <f t="shared" si="1"/>
        <v>High</v>
      </c>
    </row>
    <row r="51" spans="1:14" x14ac:dyDescent="0.3">
      <c r="A51" t="s">
        <v>107</v>
      </c>
      <c r="B51" s="1">
        <v>45499</v>
      </c>
      <c r="C51" s="1" t="str">
        <f t="shared" si="0"/>
        <v>July</v>
      </c>
      <c r="D51" t="s">
        <v>13</v>
      </c>
      <c r="E51" t="s">
        <v>108</v>
      </c>
      <c r="F51" t="s">
        <v>27</v>
      </c>
      <c r="G51">
        <v>6</v>
      </c>
      <c r="H51">
        <v>2023.52</v>
      </c>
      <c r="I51" s="3">
        <v>0.25</v>
      </c>
      <c r="J51" t="s">
        <v>28</v>
      </c>
      <c r="K51" t="s">
        <v>49</v>
      </c>
      <c r="L51" t="s">
        <v>33</v>
      </c>
      <c r="M51">
        <v>9105.84</v>
      </c>
      <c r="N51" t="str">
        <f t="shared" si="1"/>
        <v>Low</v>
      </c>
    </row>
    <row r="52" spans="1:14" x14ac:dyDescent="0.3">
      <c r="A52" t="s">
        <v>109</v>
      </c>
      <c r="B52" s="1">
        <v>45462</v>
      </c>
      <c r="C52" s="1" t="str">
        <f t="shared" si="0"/>
        <v>June</v>
      </c>
      <c r="D52" t="s">
        <v>25</v>
      </c>
      <c r="E52" t="s">
        <v>26</v>
      </c>
      <c r="F52" t="s">
        <v>44</v>
      </c>
      <c r="G52">
        <v>4</v>
      </c>
      <c r="H52">
        <v>3505.27</v>
      </c>
      <c r="I52" s="3">
        <v>0.1</v>
      </c>
      <c r="J52" t="s">
        <v>16</v>
      </c>
      <c r="K52" t="s">
        <v>29</v>
      </c>
      <c r="L52" t="s">
        <v>33</v>
      </c>
      <c r="M52">
        <v>12618.97</v>
      </c>
      <c r="N52" t="str">
        <f t="shared" si="1"/>
        <v>Medium</v>
      </c>
    </row>
    <row r="53" spans="1:14" x14ac:dyDescent="0.3">
      <c r="A53" t="s">
        <v>110</v>
      </c>
      <c r="B53" s="1">
        <v>45503</v>
      </c>
      <c r="C53" s="1" t="str">
        <f t="shared" si="0"/>
        <v>July</v>
      </c>
      <c r="D53" t="s">
        <v>35</v>
      </c>
      <c r="E53" t="s">
        <v>65</v>
      </c>
      <c r="F53" t="s">
        <v>15</v>
      </c>
      <c r="G53">
        <v>6</v>
      </c>
      <c r="H53">
        <v>4264.72</v>
      </c>
      <c r="I53" s="3">
        <v>0.2</v>
      </c>
      <c r="J53" t="s">
        <v>16</v>
      </c>
      <c r="K53" t="s">
        <v>23</v>
      </c>
      <c r="L53" t="s">
        <v>33</v>
      </c>
      <c r="M53">
        <v>20470.66</v>
      </c>
      <c r="N53" t="str">
        <f t="shared" si="1"/>
        <v>High</v>
      </c>
    </row>
    <row r="54" spans="1:14" x14ac:dyDescent="0.3">
      <c r="A54" t="s">
        <v>111</v>
      </c>
      <c r="B54" s="1">
        <v>45488</v>
      </c>
      <c r="C54" s="1" t="str">
        <f t="shared" si="0"/>
        <v>July</v>
      </c>
      <c r="D54" t="s">
        <v>35</v>
      </c>
      <c r="E54" t="s">
        <v>97</v>
      </c>
      <c r="F54" t="s">
        <v>1160</v>
      </c>
      <c r="G54">
        <v>4</v>
      </c>
      <c r="H54">
        <v>5219.46</v>
      </c>
      <c r="I54" s="3">
        <v>0.2</v>
      </c>
      <c r="J54" t="s">
        <v>16</v>
      </c>
      <c r="K54" t="s">
        <v>17</v>
      </c>
      <c r="L54" t="s">
        <v>33</v>
      </c>
      <c r="M54">
        <v>16702.27</v>
      </c>
      <c r="N54" t="str">
        <f t="shared" si="1"/>
        <v>Medium</v>
      </c>
    </row>
    <row r="55" spans="1:14" x14ac:dyDescent="0.3">
      <c r="A55" t="s">
        <v>112</v>
      </c>
      <c r="B55" s="1">
        <v>45562</v>
      </c>
      <c r="C55" s="1" t="str">
        <f t="shared" si="0"/>
        <v>September</v>
      </c>
      <c r="D55" t="s">
        <v>35</v>
      </c>
      <c r="E55" t="s">
        <v>68</v>
      </c>
      <c r="F55" t="s">
        <v>15</v>
      </c>
      <c r="G55">
        <v>4</v>
      </c>
      <c r="H55">
        <v>7782.09</v>
      </c>
      <c r="I55" s="3">
        <v>0.1</v>
      </c>
      <c r="J55" t="s">
        <v>16</v>
      </c>
      <c r="K55" t="s">
        <v>17</v>
      </c>
      <c r="L55" t="s">
        <v>18</v>
      </c>
      <c r="M55">
        <v>28015.52</v>
      </c>
      <c r="N55" t="str">
        <f t="shared" si="1"/>
        <v>High</v>
      </c>
    </row>
    <row r="56" spans="1:14" x14ac:dyDescent="0.3">
      <c r="A56" t="s">
        <v>113</v>
      </c>
      <c r="B56" s="1">
        <v>45356</v>
      </c>
      <c r="C56" s="1" t="str">
        <f t="shared" si="0"/>
        <v>March</v>
      </c>
      <c r="D56" t="s">
        <v>25</v>
      </c>
      <c r="E56" t="s">
        <v>31</v>
      </c>
      <c r="F56" t="s">
        <v>32</v>
      </c>
      <c r="G56">
        <v>2</v>
      </c>
      <c r="H56">
        <v>4619.6499999999996</v>
      </c>
      <c r="I56" s="3">
        <v>0</v>
      </c>
      <c r="J56" t="s">
        <v>22</v>
      </c>
      <c r="K56" t="s">
        <v>17</v>
      </c>
      <c r="L56" t="s">
        <v>18</v>
      </c>
      <c r="M56">
        <v>9239.2999999999993</v>
      </c>
      <c r="N56" t="str">
        <f t="shared" si="1"/>
        <v>Low</v>
      </c>
    </row>
    <row r="57" spans="1:14" x14ac:dyDescent="0.3">
      <c r="A57" t="s">
        <v>114</v>
      </c>
      <c r="B57" s="1">
        <v>45560</v>
      </c>
      <c r="C57" s="1" t="str">
        <f t="shared" si="0"/>
        <v>September</v>
      </c>
      <c r="D57" t="s">
        <v>35</v>
      </c>
      <c r="E57" t="s">
        <v>68</v>
      </c>
      <c r="F57" t="s">
        <v>27</v>
      </c>
      <c r="G57">
        <v>5</v>
      </c>
      <c r="H57">
        <v>1654.86</v>
      </c>
      <c r="I57" s="3">
        <v>0.1</v>
      </c>
      <c r="J57" t="s">
        <v>16</v>
      </c>
      <c r="K57" t="s">
        <v>29</v>
      </c>
      <c r="L57" t="s">
        <v>33</v>
      </c>
      <c r="M57">
        <v>7446.87</v>
      </c>
      <c r="N57" t="str">
        <f t="shared" si="1"/>
        <v>Low</v>
      </c>
    </row>
    <row r="58" spans="1:14" x14ac:dyDescent="0.3">
      <c r="A58" t="s">
        <v>115</v>
      </c>
      <c r="B58" s="1">
        <v>45572</v>
      </c>
      <c r="C58" s="1" t="str">
        <f t="shared" si="0"/>
        <v>October</v>
      </c>
      <c r="D58" t="s">
        <v>20</v>
      </c>
      <c r="E58" t="s">
        <v>78</v>
      </c>
      <c r="F58" t="s">
        <v>1160</v>
      </c>
      <c r="G58">
        <v>2</v>
      </c>
      <c r="H58">
        <v>379.85</v>
      </c>
      <c r="I58" s="3">
        <v>0.2</v>
      </c>
      <c r="J58" t="s">
        <v>22</v>
      </c>
      <c r="K58" t="s">
        <v>17</v>
      </c>
      <c r="L58" t="s">
        <v>18</v>
      </c>
      <c r="M58">
        <v>607.76</v>
      </c>
      <c r="N58" t="str">
        <f t="shared" si="1"/>
        <v>Low</v>
      </c>
    </row>
    <row r="59" spans="1:14" x14ac:dyDescent="0.3">
      <c r="A59" t="s">
        <v>116</v>
      </c>
      <c r="B59" s="1">
        <v>45481</v>
      </c>
      <c r="C59" s="1" t="str">
        <f t="shared" si="0"/>
        <v>July</v>
      </c>
      <c r="D59" t="s">
        <v>13</v>
      </c>
      <c r="E59" t="s">
        <v>14</v>
      </c>
      <c r="F59" t="s">
        <v>15</v>
      </c>
      <c r="G59">
        <v>2</v>
      </c>
      <c r="H59">
        <v>4019.61</v>
      </c>
      <c r="I59" s="3">
        <v>0.15</v>
      </c>
      <c r="J59" t="s">
        <v>22</v>
      </c>
      <c r="K59" t="s">
        <v>49</v>
      </c>
      <c r="L59" t="s">
        <v>18</v>
      </c>
      <c r="M59">
        <v>6833.34</v>
      </c>
      <c r="N59" t="str">
        <f t="shared" si="1"/>
        <v>Low</v>
      </c>
    </row>
    <row r="60" spans="1:14" x14ac:dyDescent="0.3">
      <c r="A60" t="s">
        <v>117</v>
      </c>
      <c r="B60" s="1">
        <v>45451</v>
      </c>
      <c r="C60" s="1" t="str">
        <f t="shared" si="0"/>
        <v>June</v>
      </c>
      <c r="D60" t="s">
        <v>20</v>
      </c>
      <c r="E60" t="s">
        <v>78</v>
      </c>
      <c r="F60" t="s">
        <v>1160</v>
      </c>
      <c r="G60">
        <v>2</v>
      </c>
      <c r="H60">
        <v>1961.85</v>
      </c>
      <c r="I60" s="3">
        <v>0.1</v>
      </c>
      <c r="J60" t="s">
        <v>16</v>
      </c>
      <c r="K60" t="s">
        <v>23</v>
      </c>
      <c r="L60" t="s">
        <v>33</v>
      </c>
      <c r="M60">
        <v>3531.33</v>
      </c>
      <c r="N60" t="str">
        <f t="shared" si="1"/>
        <v>Low</v>
      </c>
    </row>
    <row r="61" spans="1:14" x14ac:dyDescent="0.3">
      <c r="A61" t="s">
        <v>118</v>
      </c>
      <c r="B61" s="1">
        <v>45596</v>
      </c>
      <c r="C61" s="1" t="str">
        <f t="shared" si="0"/>
        <v>October</v>
      </c>
      <c r="D61" t="s">
        <v>38</v>
      </c>
      <c r="E61" t="s">
        <v>39</v>
      </c>
      <c r="F61" t="s">
        <v>32</v>
      </c>
      <c r="G61">
        <v>2</v>
      </c>
      <c r="H61">
        <v>7387.1</v>
      </c>
      <c r="I61" s="3">
        <v>0</v>
      </c>
      <c r="J61" t="s">
        <v>16</v>
      </c>
      <c r="K61" t="s">
        <v>23</v>
      </c>
      <c r="L61" t="s">
        <v>33</v>
      </c>
      <c r="M61">
        <v>14774.2</v>
      </c>
      <c r="N61" t="str">
        <f t="shared" si="1"/>
        <v>Medium</v>
      </c>
    </row>
    <row r="62" spans="1:14" x14ac:dyDescent="0.3">
      <c r="A62" t="s">
        <v>119</v>
      </c>
      <c r="B62" s="1">
        <v>45332</v>
      </c>
      <c r="C62" s="1" t="str">
        <f t="shared" si="0"/>
        <v>February</v>
      </c>
      <c r="D62" t="s">
        <v>38</v>
      </c>
      <c r="E62" t="s">
        <v>100</v>
      </c>
      <c r="F62" t="s">
        <v>53</v>
      </c>
      <c r="G62">
        <v>2</v>
      </c>
      <c r="H62">
        <v>2734.56</v>
      </c>
      <c r="I62" s="3">
        <v>0.05</v>
      </c>
      <c r="J62" t="s">
        <v>22</v>
      </c>
      <c r="K62" t="s">
        <v>17</v>
      </c>
      <c r="L62" t="s">
        <v>33</v>
      </c>
      <c r="M62">
        <v>5195.66</v>
      </c>
      <c r="N62" t="str">
        <f t="shared" si="1"/>
        <v>Low</v>
      </c>
    </row>
    <row r="63" spans="1:14" x14ac:dyDescent="0.3">
      <c r="A63" t="s">
        <v>120</v>
      </c>
      <c r="B63" s="1">
        <v>45347</v>
      </c>
      <c r="C63" s="1" t="str">
        <f t="shared" si="0"/>
        <v>February</v>
      </c>
      <c r="D63" t="s">
        <v>13</v>
      </c>
      <c r="E63" t="s">
        <v>74</v>
      </c>
      <c r="F63" t="s">
        <v>47</v>
      </c>
      <c r="G63">
        <v>1</v>
      </c>
      <c r="H63">
        <v>764.2</v>
      </c>
      <c r="I63" s="3">
        <v>0</v>
      </c>
      <c r="J63" t="s">
        <v>16</v>
      </c>
      <c r="K63" t="s">
        <v>17</v>
      </c>
      <c r="L63" t="s">
        <v>33</v>
      </c>
      <c r="M63">
        <v>764.2</v>
      </c>
      <c r="N63" t="str">
        <f t="shared" si="1"/>
        <v>Low</v>
      </c>
    </row>
    <row r="64" spans="1:14" x14ac:dyDescent="0.3">
      <c r="A64" t="s">
        <v>121</v>
      </c>
      <c r="B64" s="1">
        <v>45317</v>
      </c>
      <c r="C64" s="1" t="str">
        <f t="shared" si="0"/>
        <v>January</v>
      </c>
      <c r="D64" t="s">
        <v>13</v>
      </c>
      <c r="E64" t="s">
        <v>74</v>
      </c>
      <c r="F64" t="s">
        <v>53</v>
      </c>
      <c r="G64">
        <v>6</v>
      </c>
      <c r="H64">
        <v>3866.69</v>
      </c>
      <c r="I64" s="3">
        <v>0.15</v>
      </c>
      <c r="J64" t="s">
        <v>28</v>
      </c>
      <c r="K64" t="s">
        <v>40</v>
      </c>
      <c r="L64" t="s">
        <v>33</v>
      </c>
      <c r="M64">
        <v>19720.12</v>
      </c>
      <c r="N64" t="str">
        <f t="shared" si="1"/>
        <v>Medium</v>
      </c>
    </row>
    <row r="65" spans="1:14" x14ac:dyDescent="0.3">
      <c r="A65" t="s">
        <v>122</v>
      </c>
      <c r="B65" s="1">
        <v>45484</v>
      </c>
      <c r="C65" s="1" t="str">
        <f t="shared" si="0"/>
        <v>July</v>
      </c>
      <c r="D65" t="s">
        <v>20</v>
      </c>
      <c r="E65" t="s">
        <v>78</v>
      </c>
      <c r="F65" t="s">
        <v>32</v>
      </c>
      <c r="G65">
        <v>1</v>
      </c>
      <c r="H65">
        <v>3792.8</v>
      </c>
      <c r="I65" s="3">
        <v>0</v>
      </c>
      <c r="J65" t="s">
        <v>16</v>
      </c>
      <c r="K65" t="s">
        <v>29</v>
      </c>
      <c r="L65" t="s">
        <v>18</v>
      </c>
      <c r="M65">
        <v>3792.8</v>
      </c>
      <c r="N65" t="str">
        <f t="shared" si="1"/>
        <v>Low</v>
      </c>
    </row>
    <row r="66" spans="1:14" x14ac:dyDescent="0.3">
      <c r="A66" t="s">
        <v>123</v>
      </c>
      <c r="B66" s="1">
        <v>45444</v>
      </c>
      <c r="C66" s="1" t="str">
        <f t="shared" ref="C66:C129" si="2">TEXT(B66,"mmmm")</f>
        <v>June</v>
      </c>
      <c r="D66" t="s">
        <v>13</v>
      </c>
      <c r="E66" t="s">
        <v>108</v>
      </c>
      <c r="F66" t="s">
        <v>27</v>
      </c>
      <c r="G66">
        <v>1</v>
      </c>
      <c r="H66">
        <v>5814.34</v>
      </c>
      <c r="I66" s="3">
        <v>0</v>
      </c>
      <c r="J66" t="s">
        <v>16</v>
      </c>
      <c r="K66" t="s">
        <v>17</v>
      </c>
      <c r="L66" t="s">
        <v>33</v>
      </c>
      <c r="M66">
        <v>5814.34</v>
      </c>
      <c r="N66" t="str">
        <f t="shared" ref="N66:N129" si="3">IF(M66&gt;20000,"High",IF(M66&gt;10000,"Medium","Low"))</f>
        <v>Low</v>
      </c>
    </row>
    <row r="67" spans="1:14" x14ac:dyDescent="0.3">
      <c r="A67" t="s">
        <v>124</v>
      </c>
      <c r="B67" s="1">
        <v>45546</v>
      </c>
      <c r="C67" s="1" t="str">
        <f t="shared" si="2"/>
        <v>September</v>
      </c>
      <c r="D67" t="s">
        <v>38</v>
      </c>
      <c r="E67" t="s">
        <v>39</v>
      </c>
      <c r="F67" t="s">
        <v>47</v>
      </c>
      <c r="G67">
        <v>2</v>
      </c>
      <c r="H67">
        <v>218.34</v>
      </c>
      <c r="I67" s="3">
        <v>0.1</v>
      </c>
      <c r="J67" t="s">
        <v>22</v>
      </c>
      <c r="K67" t="s">
        <v>29</v>
      </c>
      <c r="L67" t="s">
        <v>18</v>
      </c>
      <c r="M67">
        <v>393.01</v>
      </c>
      <c r="N67" t="str">
        <f t="shared" si="3"/>
        <v>Low</v>
      </c>
    </row>
    <row r="68" spans="1:14" x14ac:dyDescent="0.3">
      <c r="A68" t="s">
        <v>125</v>
      </c>
      <c r="B68" s="1">
        <v>45373</v>
      </c>
      <c r="C68" s="1" t="str">
        <f t="shared" si="2"/>
        <v>March</v>
      </c>
      <c r="D68" t="s">
        <v>25</v>
      </c>
      <c r="E68" t="s">
        <v>26</v>
      </c>
      <c r="F68" t="s">
        <v>15</v>
      </c>
      <c r="G68">
        <v>2</v>
      </c>
      <c r="H68">
        <v>3350.89</v>
      </c>
      <c r="I68" s="3">
        <v>0</v>
      </c>
      <c r="J68" t="s">
        <v>55</v>
      </c>
      <c r="K68" t="s">
        <v>40</v>
      </c>
      <c r="L68" t="s">
        <v>33</v>
      </c>
      <c r="M68">
        <v>6701.78</v>
      </c>
      <c r="N68" t="str">
        <f t="shared" si="3"/>
        <v>Low</v>
      </c>
    </row>
    <row r="69" spans="1:14" x14ac:dyDescent="0.3">
      <c r="A69" t="s">
        <v>126</v>
      </c>
      <c r="B69" s="1">
        <v>45341</v>
      </c>
      <c r="C69" s="1" t="str">
        <f t="shared" si="2"/>
        <v>February</v>
      </c>
      <c r="D69" t="s">
        <v>25</v>
      </c>
      <c r="E69" t="s">
        <v>31</v>
      </c>
      <c r="F69" t="s">
        <v>1160</v>
      </c>
      <c r="G69">
        <v>4</v>
      </c>
      <c r="H69">
        <v>4063.03</v>
      </c>
      <c r="I69" s="3">
        <v>0.25</v>
      </c>
      <c r="J69" t="s">
        <v>16</v>
      </c>
      <c r="K69" t="s">
        <v>49</v>
      </c>
      <c r="L69" t="s">
        <v>18</v>
      </c>
      <c r="M69">
        <v>12189.09</v>
      </c>
      <c r="N69" t="str">
        <f t="shared" si="3"/>
        <v>Medium</v>
      </c>
    </row>
    <row r="70" spans="1:14" x14ac:dyDescent="0.3">
      <c r="A70" t="s">
        <v>127</v>
      </c>
      <c r="B70" s="1">
        <v>45582</v>
      </c>
      <c r="C70" s="1" t="str">
        <f t="shared" si="2"/>
        <v>October</v>
      </c>
      <c r="D70" t="s">
        <v>13</v>
      </c>
      <c r="E70" t="s">
        <v>108</v>
      </c>
      <c r="F70" t="s">
        <v>27</v>
      </c>
      <c r="G70">
        <v>3</v>
      </c>
      <c r="H70">
        <v>3077.82</v>
      </c>
      <c r="I70" s="3">
        <v>0.1</v>
      </c>
      <c r="J70" t="s">
        <v>16</v>
      </c>
      <c r="K70" t="s">
        <v>49</v>
      </c>
      <c r="L70" t="s">
        <v>33</v>
      </c>
      <c r="M70">
        <v>8310.11</v>
      </c>
      <c r="N70" t="str">
        <f t="shared" si="3"/>
        <v>Low</v>
      </c>
    </row>
    <row r="71" spans="1:14" x14ac:dyDescent="0.3">
      <c r="A71" t="s">
        <v>128</v>
      </c>
      <c r="B71" s="1">
        <v>45420</v>
      </c>
      <c r="C71" s="1" t="str">
        <f t="shared" si="2"/>
        <v>May</v>
      </c>
      <c r="D71" t="s">
        <v>13</v>
      </c>
      <c r="E71" t="s">
        <v>76</v>
      </c>
      <c r="F71" t="s">
        <v>15</v>
      </c>
      <c r="G71">
        <v>2</v>
      </c>
      <c r="H71">
        <v>4132.5</v>
      </c>
      <c r="I71" s="3">
        <v>0.1</v>
      </c>
      <c r="J71" t="s">
        <v>22</v>
      </c>
      <c r="K71" t="s">
        <v>17</v>
      </c>
      <c r="L71" t="s">
        <v>33</v>
      </c>
      <c r="M71">
        <v>7438.5</v>
      </c>
      <c r="N71" t="str">
        <f t="shared" si="3"/>
        <v>Low</v>
      </c>
    </row>
    <row r="72" spans="1:14" x14ac:dyDescent="0.3">
      <c r="A72" t="s">
        <v>129</v>
      </c>
      <c r="B72" s="1">
        <v>45442</v>
      </c>
      <c r="C72" s="1" t="str">
        <f t="shared" si="2"/>
        <v>May</v>
      </c>
      <c r="D72" t="s">
        <v>38</v>
      </c>
      <c r="E72" t="s">
        <v>100</v>
      </c>
      <c r="F72" t="s">
        <v>32</v>
      </c>
      <c r="G72">
        <v>2</v>
      </c>
      <c r="H72">
        <v>1085.8499999999999</v>
      </c>
      <c r="I72" s="3">
        <v>0.1</v>
      </c>
      <c r="J72" t="s">
        <v>28</v>
      </c>
      <c r="K72" t="s">
        <v>23</v>
      </c>
      <c r="L72" t="s">
        <v>33</v>
      </c>
      <c r="M72">
        <v>1954.53</v>
      </c>
      <c r="N72" t="str">
        <f t="shared" si="3"/>
        <v>Low</v>
      </c>
    </row>
    <row r="73" spans="1:14" x14ac:dyDescent="0.3">
      <c r="A73" t="s">
        <v>130</v>
      </c>
      <c r="B73" s="1">
        <v>45346</v>
      </c>
      <c r="C73" s="1" t="str">
        <f t="shared" si="2"/>
        <v>February</v>
      </c>
      <c r="D73" t="s">
        <v>25</v>
      </c>
      <c r="E73" t="s">
        <v>46</v>
      </c>
      <c r="F73" t="s">
        <v>32</v>
      </c>
      <c r="G73">
        <v>6</v>
      </c>
      <c r="H73">
        <v>4829.75</v>
      </c>
      <c r="I73" s="3">
        <v>0.15</v>
      </c>
      <c r="J73" t="s">
        <v>16</v>
      </c>
      <c r="K73" t="s">
        <v>40</v>
      </c>
      <c r="L73" t="s">
        <v>33</v>
      </c>
      <c r="M73">
        <v>24631.72</v>
      </c>
      <c r="N73" t="str">
        <f t="shared" si="3"/>
        <v>High</v>
      </c>
    </row>
    <row r="74" spans="1:14" x14ac:dyDescent="0.3">
      <c r="A74" t="s">
        <v>131</v>
      </c>
      <c r="B74" s="1">
        <v>45639</v>
      </c>
      <c r="C74" s="1" t="str">
        <f t="shared" si="2"/>
        <v>December</v>
      </c>
      <c r="D74" t="s">
        <v>35</v>
      </c>
      <c r="E74" t="s">
        <v>97</v>
      </c>
      <c r="F74" t="s">
        <v>15</v>
      </c>
      <c r="G74">
        <v>3</v>
      </c>
      <c r="H74">
        <v>1603.39</v>
      </c>
      <c r="I74" s="3">
        <v>0.1</v>
      </c>
      <c r="J74" t="s">
        <v>16</v>
      </c>
      <c r="K74" t="s">
        <v>40</v>
      </c>
      <c r="L74" t="s">
        <v>33</v>
      </c>
      <c r="M74">
        <v>4329.1499999999996</v>
      </c>
      <c r="N74" t="str">
        <f t="shared" si="3"/>
        <v>Low</v>
      </c>
    </row>
    <row r="75" spans="1:14" x14ac:dyDescent="0.3">
      <c r="A75" t="s">
        <v>132</v>
      </c>
      <c r="B75" s="1">
        <v>45626</v>
      </c>
      <c r="C75" s="1" t="str">
        <f t="shared" si="2"/>
        <v>November</v>
      </c>
      <c r="D75" t="s">
        <v>25</v>
      </c>
      <c r="E75" t="s">
        <v>26</v>
      </c>
      <c r="F75" t="s">
        <v>53</v>
      </c>
      <c r="G75">
        <v>2</v>
      </c>
      <c r="H75">
        <v>3272.51</v>
      </c>
      <c r="I75" s="3">
        <v>0.1</v>
      </c>
      <c r="J75" t="s">
        <v>55</v>
      </c>
      <c r="K75" t="s">
        <v>49</v>
      </c>
      <c r="L75" t="s">
        <v>33</v>
      </c>
      <c r="M75">
        <v>5890.52</v>
      </c>
      <c r="N75" t="str">
        <f t="shared" si="3"/>
        <v>Low</v>
      </c>
    </row>
    <row r="76" spans="1:14" x14ac:dyDescent="0.3">
      <c r="A76" t="s">
        <v>133</v>
      </c>
      <c r="B76" s="1">
        <v>45478</v>
      </c>
      <c r="C76" s="1" t="str">
        <f t="shared" si="2"/>
        <v>July</v>
      </c>
      <c r="D76" t="s">
        <v>38</v>
      </c>
      <c r="E76" t="s">
        <v>39</v>
      </c>
      <c r="F76" t="s">
        <v>32</v>
      </c>
      <c r="G76">
        <v>6</v>
      </c>
      <c r="H76">
        <v>1698.03</v>
      </c>
      <c r="I76" s="3">
        <v>0.2</v>
      </c>
      <c r="J76" t="s">
        <v>16</v>
      </c>
      <c r="K76" t="s">
        <v>40</v>
      </c>
      <c r="L76" t="s">
        <v>33</v>
      </c>
      <c r="M76">
        <v>8150.54</v>
      </c>
      <c r="N76" t="str">
        <f t="shared" si="3"/>
        <v>Low</v>
      </c>
    </row>
    <row r="77" spans="1:14" x14ac:dyDescent="0.3">
      <c r="A77" t="s">
        <v>134</v>
      </c>
      <c r="B77" s="1">
        <v>45375</v>
      </c>
      <c r="C77" s="1" t="str">
        <f t="shared" si="2"/>
        <v>March</v>
      </c>
      <c r="D77" t="s">
        <v>25</v>
      </c>
      <c r="E77" t="s">
        <v>46</v>
      </c>
      <c r="F77" t="s">
        <v>44</v>
      </c>
      <c r="G77">
        <v>2</v>
      </c>
      <c r="H77">
        <v>266.45</v>
      </c>
      <c r="I77" s="3">
        <v>0.05</v>
      </c>
      <c r="J77" t="s">
        <v>22</v>
      </c>
      <c r="K77" t="s">
        <v>49</v>
      </c>
      <c r="L77" t="s">
        <v>33</v>
      </c>
      <c r="M77">
        <v>506.25</v>
      </c>
      <c r="N77" t="str">
        <f t="shared" si="3"/>
        <v>Low</v>
      </c>
    </row>
    <row r="78" spans="1:14" x14ac:dyDescent="0.3">
      <c r="A78" t="s">
        <v>135</v>
      </c>
      <c r="B78" s="1">
        <v>45374</v>
      </c>
      <c r="C78" s="1" t="str">
        <f t="shared" si="2"/>
        <v>March</v>
      </c>
      <c r="D78" t="s">
        <v>20</v>
      </c>
      <c r="E78" t="s">
        <v>59</v>
      </c>
      <c r="F78" t="s">
        <v>27</v>
      </c>
      <c r="G78">
        <v>5</v>
      </c>
      <c r="H78">
        <v>1498.51</v>
      </c>
      <c r="I78" s="3">
        <v>0</v>
      </c>
      <c r="J78" t="s">
        <v>16</v>
      </c>
      <c r="K78" t="s">
        <v>29</v>
      </c>
      <c r="L78" t="s">
        <v>33</v>
      </c>
      <c r="M78">
        <v>7492.55</v>
      </c>
      <c r="N78" t="str">
        <f t="shared" si="3"/>
        <v>Low</v>
      </c>
    </row>
    <row r="79" spans="1:14" x14ac:dyDescent="0.3">
      <c r="A79" t="s">
        <v>136</v>
      </c>
      <c r="B79" s="1">
        <v>45319</v>
      </c>
      <c r="C79" s="1" t="str">
        <f t="shared" si="2"/>
        <v>January</v>
      </c>
      <c r="D79" t="s">
        <v>35</v>
      </c>
      <c r="E79" t="s">
        <v>65</v>
      </c>
      <c r="F79" t="s">
        <v>80</v>
      </c>
      <c r="G79">
        <v>5</v>
      </c>
      <c r="H79">
        <v>7420.42</v>
      </c>
      <c r="I79" s="3">
        <v>0.2</v>
      </c>
      <c r="J79" t="s">
        <v>16</v>
      </c>
      <c r="K79" t="s">
        <v>23</v>
      </c>
      <c r="L79" t="s">
        <v>33</v>
      </c>
      <c r="M79">
        <v>29681.68</v>
      </c>
      <c r="N79" t="str">
        <f t="shared" si="3"/>
        <v>High</v>
      </c>
    </row>
    <row r="80" spans="1:14" x14ac:dyDescent="0.3">
      <c r="A80" t="s">
        <v>137</v>
      </c>
      <c r="B80" s="1">
        <v>45385</v>
      </c>
      <c r="C80" s="1" t="str">
        <f t="shared" si="2"/>
        <v>April</v>
      </c>
      <c r="D80" t="s">
        <v>25</v>
      </c>
      <c r="E80" t="s">
        <v>26</v>
      </c>
      <c r="F80" t="s">
        <v>44</v>
      </c>
      <c r="G80">
        <v>5</v>
      </c>
      <c r="H80">
        <v>1862.37</v>
      </c>
      <c r="I80" s="3">
        <v>0.2</v>
      </c>
      <c r="J80" t="s">
        <v>28</v>
      </c>
      <c r="K80" t="s">
        <v>23</v>
      </c>
      <c r="L80" t="s">
        <v>18</v>
      </c>
      <c r="M80">
        <v>7449.48</v>
      </c>
      <c r="N80" t="str">
        <f t="shared" si="3"/>
        <v>Low</v>
      </c>
    </row>
    <row r="81" spans="1:14" x14ac:dyDescent="0.3">
      <c r="A81" t="s">
        <v>138</v>
      </c>
      <c r="B81" s="1">
        <v>45352</v>
      </c>
      <c r="C81" s="1" t="str">
        <f t="shared" si="2"/>
        <v>March</v>
      </c>
      <c r="D81" t="s">
        <v>25</v>
      </c>
      <c r="E81" t="s">
        <v>31</v>
      </c>
      <c r="F81" t="s">
        <v>80</v>
      </c>
      <c r="G81">
        <v>4</v>
      </c>
      <c r="H81">
        <v>4856.2299999999996</v>
      </c>
      <c r="I81" s="3">
        <v>0.1</v>
      </c>
      <c r="J81" t="s">
        <v>22</v>
      </c>
      <c r="K81" t="s">
        <v>17</v>
      </c>
      <c r="L81" t="s">
        <v>33</v>
      </c>
      <c r="M81">
        <v>17482.43</v>
      </c>
      <c r="N81" t="str">
        <f t="shared" si="3"/>
        <v>Medium</v>
      </c>
    </row>
    <row r="82" spans="1:14" x14ac:dyDescent="0.3">
      <c r="A82" t="s">
        <v>139</v>
      </c>
      <c r="B82" s="1">
        <v>45608</v>
      </c>
      <c r="C82" s="1" t="str">
        <f t="shared" si="2"/>
        <v>November</v>
      </c>
      <c r="D82" t="s">
        <v>20</v>
      </c>
      <c r="E82" t="s">
        <v>21</v>
      </c>
      <c r="F82" t="s">
        <v>32</v>
      </c>
      <c r="G82">
        <v>4</v>
      </c>
      <c r="H82">
        <v>3802.39</v>
      </c>
      <c r="I82" s="3">
        <v>0.25</v>
      </c>
      <c r="J82" t="s">
        <v>28</v>
      </c>
      <c r="K82" t="s">
        <v>40</v>
      </c>
      <c r="L82" t="s">
        <v>18</v>
      </c>
      <c r="M82">
        <v>11407.17</v>
      </c>
      <c r="N82" t="str">
        <f t="shared" si="3"/>
        <v>Medium</v>
      </c>
    </row>
    <row r="83" spans="1:14" x14ac:dyDescent="0.3">
      <c r="A83" t="s">
        <v>140</v>
      </c>
      <c r="B83" s="1">
        <v>45479</v>
      </c>
      <c r="C83" s="1" t="str">
        <f t="shared" si="2"/>
        <v>July</v>
      </c>
      <c r="D83" t="s">
        <v>20</v>
      </c>
      <c r="E83" t="s">
        <v>59</v>
      </c>
      <c r="F83" t="s">
        <v>15</v>
      </c>
      <c r="G83">
        <v>1</v>
      </c>
      <c r="H83">
        <v>6447.91</v>
      </c>
      <c r="I83" s="3">
        <v>0</v>
      </c>
      <c r="J83" t="s">
        <v>16</v>
      </c>
      <c r="K83" t="s">
        <v>49</v>
      </c>
      <c r="L83" t="s">
        <v>18</v>
      </c>
      <c r="M83">
        <v>6447.91</v>
      </c>
      <c r="N83" t="str">
        <f t="shared" si="3"/>
        <v>Low</v>
      </c>
    </row>
    <row r="84" spans="1:14" x14ac:dyDescent="0.3">
      <c r="A84" t="s">
        <v>141</v>
      </c>
      <c r="B84" s="1">
        <v>45626</v>
      </c>
      <c r="C84" s="1" t="str">
        <f t="shared" si="2"/>
        <v>November</v>
      </c>
      <c r="D84" t="s">
        <v>35</v>
      </c>
      <c r="E84" t="s">
        <v>36</v>
      </c>
      <c r="F84" t="s">
        <v>15</v>
      </c>
      <c r="G84">
        <v>2</v>
      </c>
      <c r="H84">
        <v>352.97</v>
      </c>
      <c r="I84" s="3">
        <v>0</v>
      </c>
      <c r="J84" t="s">
        <v>28</v>
      </c>
      <c r="K84" t="s">
        <v>17</v>
      </c>
      <c r="L84" t="s">
        <v>33</v>
      </c>
      <c r="M84">
        <v>705.94</v>
      </c>
      <c r="N84" t="str">
        <f t="shared" si="3"/>
        <v>Low</v>
      </c>
    </row>
    <row r="85" spans="1:14" x14ac:dyDescent="0.3">
      <c r="A85" t="s">
        <v>142</v>
      </c>
      <c r="B85" s="1">
        <v>45471</v>
      </c>
      <c r="C85" s="1" t="str">
        <f t="shared" si="2"/>
        <v>June</v>
      </c>
      <c r="D85" t="s">
        <v>20</v>
      </c>
      <c r="E85" t="s">
        <v>61</v>
      </c>
      <c r="F85" t="s">
        <v>53</v>
      </c>
      <c r="G85">
        <v>5</v>
      </c>
      <c r="H85">
        <v>6086.01</v>
      </c>
      <c r="I85" s="3">
        <v>0.05</v>
      </c>
      <c r="J85" t="s">
        <v>16</v>
      </c>
      <c r="K85" t="s">
        <v>49</v>
      </c>
      <c r="L85" t="s">
        <v>33</v>
      </c>
      <c r="M85">
        <v>28908.55</v>
      </c>
      <c r="N85" t="str">
        <f t="shared" si="3"/>
        <v>High</v>
      </c>
    </row>
    <row r="86" spans="1:14" x14ac:dyDescent="0.3">
      <c r="A86" t="s">
        <v>143</v>
      </c>
      <c r="B86" s="1">
        <v>45607</v>
      </c>
      <c r="C86" s="1" t="str">
        <f t="shared" si="2"/>
        <v>November</v>
      </c>
      <c r="D86" t="s">
        <v>20</v>
      </c>
      <c r="E86" t="s">
        <v>57</v>
      </c>
      <c r="F86" t="s">
        <v>27</v>
      </c>
      <c r="G86">
        <v>5</v>
      </c>
      <c r="H86">
        <v>2013.58</v>
      </c>
      <c r="I86" s="3">
        <v>0.15</v>
      </c>
      <c r="J86" t="s">
        <v>16</v>
      </c>
      <c r="K86" t="s">
        <v>29</v>
      </c>
      <c r="L86" t="s">
        <v>33</v>
      </c>
      <c r="M86">
        <v>8557.7199999999993</v>
      </c>
      <c r="N86" t="str">
        <f t="shared" si="3"/>
        <v>Low</v>
      </c>
    </row>
    <row r="87" spans="1:14" x14ac:dyDescent="0.3">
      <c r="A87" t="s">
        <v>144</v>
      </c>
      <c r="B87" s="1">
        <v>45563</v>
      </c>
      <c r="C87" s="1" t="str">
        <f t="shared" si="2"/>
        <v>September</v>
      </c>
      <c r="D87" t="s">
        <v>20</v>
      </c>
      <c r="E87" t="s">
        <v>59</v>
      </c>
      <c r="F87" t="s">
        <v>53</v>
      </c>
      <c r="G87">
        <v>1</v>
      </c>
      <c r="H87">
        <v>5145.1000000000004</v>
      </c>
      <c r="I87" s="3">
        <v>0.15</v>
      </c>
      <c r="J87" t="s">
        <v>55</v>
      </c>
      <c r="K87" t="s">
        <v>49</v>
      </c>
      <c r="L87" t="s">
        <v>33</v>
      </c>
      <c r="M87">
        <v>4373.34</v>
      </c>
      <c r="N87" t="str">
        <f t="shared" si="3"/>
        <v>Low</v>
      </c>
    </row>
    <row r="88" spans="1:14" x14ac:dyDescent="0.3">
      <c r="A88" t="s">
        <v>145</v>
      </c>
      <c r="B88" s="1">
        <v>45480</v>
      </c>
      <c r="C88" s="1" t="str">
        <f t="shared" si="2"/>
        <v>July</v>
      </c>
      <c r="D88" t="s">
        <v>13</v>
      </c>
      <c r="E88" t="s">
        <v>108</v>
      </c>
      <c r="F88" t="s">
        <v>15</v>
      </c>
      <c r="G88">
        <v>5</v>
      </c>
      <c r="H88">
        <v>1297.6300000000001</v>
      </c>
      <c r="I88" s="3">
        <v>0.15</v>
      </c>
      <c r="J88" t="s">
        <v>16</v>
      </c>
      <c r="K88" t="s">
        <v>49</v>
      </c>
      <c r="L88" t="s">
        <v>33</v>
      </c>
      <c r="M88">
        <v>5514.93</v>
      </c>
      <c r="N88" t="str">
        <f t="shared" si="3"/>
        <v>Low</v>
      </c>
    </row>
    <row r="89" spans="1:14" x14ac:dyDescent="0.3">
      <c r="A89" t="s">
        <v>146</v>
      </c>
      <c r="B89" s="1">
        <v>45292</v>
      </c>
      <c r="C89" s="1" t="str">
        <f t="shared" si="2"/>
        <v>January</v>
      </c>
      <c r="D89" t="s">
        <v>13</v>
      </c>
      <c r="E89" t="s">
        <v>70</v>
      </c>
      <c r="F89" t="s">
        <v>80</v>
      </c>
      <c r="G89">
        <v>6</v>
      </c>
      <c r="H89">
        <v>415.28</v>
      </c>
      <c r="I89" s="3">
        <v>0.05</v>
      </c>
      <c r="J89" t="s">
        <v>16</v>
      </c>
      <c r="K89" t="s">
        <v>23</v>
      </c>
      <c r="L89" t="s">
        <v>33</v>
      </c>
      <c r="M89">
        <v>2367.1</v>
      </c>
      <c r="N89" t="str">
        <f t="shared" si="3"/>
        <v>Low</v>
      </c>
    </row>
    <row r="90" spans="1:14" x14ac:dyDescent="0.3">
      <c r="A90" t="s">
        <v>147</v>
      </c>
      <c r="B90" s="1">
        <v>45303</v>
      </c>
      <c r="C90" s="1" t="str">
        <f t="shared" si="2"/>
        <v>January</v>
      </c>
      <c r="D90" t="s">
        <v>20</v>
      </c>
      <c r="E90" t="s">
        <v>57</v>
      </c>
      <c r="F90" t="s">
        <v>32</v>
      </c>
      <c r="G90">
        <v>1</v>
      </c>
      <c r="H90">
        <v>170.53</v>
      </c>
      <c r="I90" s="3">
        <v>0.15</v>
      </c>
      <c r="J90" t="s">
        <v>16</v>
      </c>
      <c r="K90" t="s">
        <v>49</v>
      </c>
      <c r="L90" t="s">
        <v>33</v>
      </c>
      <c r="M90">
        <v>144.94999999999999</v>
      </c>
      <c r="N90" t="str">
        <f t="shared" si="3"/>
        <v>Low</v>
      </c>
    </row>
    <row r="91" spans="1:14" x14ac:dyDescent="0.3">
      <c r="A91" t="s">
        <v>148</v>
      </c>
      <c r="B91" s="1">
        <v>45373</v>
      </c>
      <c r="C91" s="1" t="str">
        <f t="shared" si="2"/>
        <v>March</v>
      </c>
      <c r="D91" t="s">
        <v>20</v>
      </c>
      <c r="E91" t="s">
        <v>59</v>
      </c>
      <c r="F91" t="s">
        <v>44</v>
      </c>
      <c r="G91">
        <v>2</v>
      </c>
      <c r="H91">
        <v>260.77999999999997</v>
      </c>
      <c r="I91" s="3">
        <v>0.1</v>
      </c>
      <c r="J91" t="s">
        <v>22</v>
      </c>
      <c r="K91" t="s">
        <v>29</v>
      </c>
      <c r="L91" t="s">
        <v>33</v>
      </c>
      <c r="M91">
        <v>469.4</v>
      </c>
      <c r="N91" t="str">
        <f t="shared" si="3"/>
        <v>Low</v>
      </c>
    </row>
    <row r="92" spans="1:14" x14ac:dyDescent="0.3">
      <c r="A92" t="s">
        <v>149</v>
      </c>
      <c r="B92" s="1">
        <v>45622</v>
      </c>
      <c r="C92" s="1" t="str">
        <f t="shared" si="2"/>
        <v>November</v>
      </c>
      <c r="D92" t="s">
        <v>13</v>
      </c>
      <c r="E92" t="s">
        <v>76</v>
      </c>
      <c r="F92" t="s">
        <v>32</v>
      </c>
      <c r="G92">
        <v>5</v>
      </c>
      <c r="H92">
        <v>7157.51</v>
      </c>
      <c r="I92" s="3">
        <v>0.25</v>
      </c>
      <c r="J92" t="s">
        <v>28</v>
      </c>
      <c r="K92" t="s">
        <v>40</v>
      </c>
      <c r="L92" t="s">
        <v>18</v>
      </c>
      <c r="M92">
        <v>26840.66</v>
      </c>
      <c r="N92" t="str">
        <f t="shared" si="3"/>
        <v>High</v>
      </c>
    </row>
    <row r="93" spans="1:14" x14ac:dyDescent="0.3">
      <c r="A93" t="s">
        <v>150</v>
      </c>
      <c r="B93" s="1">
        <v>45387</v>
      </c>
      <c r="C93" s="1" t="str">
        <f t="shared" si="2"/>
        <v>April</v>
      </c>
      <c r="D93" t="s">
        <v>25</v>
      </c>
      <c r="E93" t="s">
        <v>31</v>
      </c>
      <c r="F93" t="s">
        <v>15</v>
      </c>
      <c r="G93">
        <v>2</v>
      </c>
      <c r="H93">
        <v>1399.85</v>
      </c>
      <c r="I93" s="3">
        <v>0</v>
      </c>
      <c r="J93" t="s">
        <v>16</v>
      </c>
      <c r="K93" t="s">
        <v>49</v>
      </c>
      <c r="L93" t="s">
        <v>33</v>
      </c>
      <c r="M93">
        <v>2799.7</v>
      </c>
      <c r="N93" t="str">
        <f t="shared" si="3"/>
        <v>Low</v>
      </c>
    </row>
    <row r="94" spans="1:14" x14ac:dyDescent="0.3">
      <c r="A94" t="s">
        <v>151</v>
      </c>
      <c r="B94" s="1">
        <v>45324</v>
      </c>
      <c r="C94" s="1" t="str">
        <f t="shared" si="2"/>
        <v>February</v>
      </c>
      <c r="D94" t="s">
        <v>25</v>
      </c>
      <c r="E94" t="s">
        <v>26</v>
      </c>
      <c r="F94" t="s">
        <v>27</v>
      </c>
      <c r="G94">
        <v>3</v>
      </c>
      <c r="H94">
        <v>5063.82</v>
      </c>
      <c r="I94" s="3">
        <v>0.25</v>
      </c>
      <c r="J94" t="s">
        <v>22</v>
      </c>
      <c r="K94" t="s">
        <v>40</v>
      </c>
      <c r="L94" t="s">
        <v>33</v>
      </c>
      <c r="M94">
        <v>11393.59</v>
      </c>
      <c r="N94" t="str">
        <f t="shared" si="3"/>
        <v>Medium</v>
      </c>
    </row>
    <row r="95" spans="1:14" x14ac:dyDescent="0.3">
      <c r="A95" t="s">
        <v>152</v>
      </c>
      <c r="B95" s="1">
        <v>45425</v>
      </c>
      <c r="C95" s="1" t="str">
        <f t="shared" si="2"/>
        <v>May</v>
      </c>
      <c r="D95" t="s">
        <v>20</v>
      </c>
      <c r="E95" t="s">
        <v>61</v>
      </c>
      <c r="F95" t="s">
        <v>53</v>
      </c>
      <c r="G95">
        <v>2</v>
      </c>
      <c r="H95">
        <v>5205.5600000000004</v>
      </c>
      <c r="I95" s="3">
        <v>0</v>
      </c>
      <c r="J95" t="s">
        <v>16</v>
      </c>
      <c r="K95" t="s">
        <v>40</v>
      </c>
      <c r="L95" t="s">
        <v>33</v>
      </c>
      <c r="M95">
        <v>10411.120000000001</v>
      </c>
      <c r="N95" t="str">
        <f t="shared" si="3"/>
        <v>Medium</v>
      </c>
    </row>
    <row r="96" spans="1:14" x14ac:dyDescent="0.3">
      <c r="A96" t="s">
        <v>153</v>
      </c>
      <c r="B96" s="1">
        <v>45443</v>
      </c>
      <c r="C96" s="1" t="str">
        <f t="shared" si="2"/>
        <v>May</v>
      </c>
      <c r="D96" t="s">
        <v>25</v>
      </c>
      <c r="E96" t="s">
        <v>87</v>
      </c>
      <c r="F96" t="s">
        <v>27</v>
      </c>
      <c r="G96">
        <v>6</v>
      </c>
      <c r="H96">
        <v>7439.28</v>
      </c>
      <c r="I96" s="3">
        <v>0.1</v>
      </c>
      <c r="J96" t="s">
        <v>16</v>
      </c>
      <c r="K96" t="s">
        <v>23</v>
      </c>
      <c r="L96" t="s">
        <v>33</v>
      </c>
      <c r="M96">
        <v>40172.11</v>
      </c>
      <c r="N96" t="str">
        <f t="shared" si="3"/>
        <v>High</v>
      </c>
    </row>
    <row r="97" spans="1:14" x14ac:dyDescent="0.3">
      <c r="A97" t="s">
        <v>154</v>
      </c>
      <c r="B97" s="1">
        <v>45460</v>
      </c>
      <c r="C97" s="1" t="str">
        <f t="shared" si="2"/>
        <v>June</v>
      </c>
      <c r="D97" t="s">
        <v>13</v>
      </c>
      <c r="E97" t="s">
        <v>14</v>
      </c>
      <c r="F97" t="s">
        <v>15</v>
      </c>
      <c r="G97">
        <v>5</v>
      </c>
      <c r="H97">
        <v>2027.47</v>
      </c>
      <c r="I97" s="3">
        <v>0.25</v>
      </c>
      <c r="J97" t="s">
        <v>55</v>
      </c>
      <c r="K97" t="s">
        <v>23</v>
      </c>
      <c r="L97" t="s">
        <v>33</v>
      </c>
      <c r="M97">
        <v>7603.01</v>
      </c>
      <c r="N97" t="str">
        <f t="shared" si="3"/>
        <v>Low</v>
      </c>
    </row>
    <row r="98" spans="1:14" x14ac:dyDescent="0.3">
      <c r="A98" t="s">
        <v>155</v>
      </c>
      <c r="B98" s="1">
        <v>45581</v>
      </c>
      <c r="C98" s="1" t="str">
        <f t="shared" si="2"/>
        <v>October</v>
      </c>
      <c r="D98" t="s">
        <v>20</v>
      </c>
      <c r="E98" t="s">
        <v>78</v>
      </c>
      <c r="F98" t="s">
        <v>53</v>
      </c>
      <c r="G98">
        <v>2</v>
      </c>
      <c r="H98">
        <v>1285.07</v>
      </c>
      <c r="I98" s="3">
        <v>0</v>
      </c>
      <c r="J98" t="s">
        <v>16</v>
      </c>
      <c r="K98" t="s">
        <v>40</v>
      </c>
      <c r="L98" t="s">
        <v>18</v>
      </c>
      <c r="M98">
        <v>2570.14</v>
      </c>
      <c r="N98" t="str">
        <f t="shared" si="3"/>
        <v>Low</v>
      </c>
    </row>
    <row r="99" spans="1:14" x14ac:dyDescent="0.3">
      <c r="A99" t="s">
        <v>156</v>
      </c>
      <c r="B99" s="1">
        <v>45648</v>
      </c>
      <c r="C99" s="1" t="str">
        <f t="shared" si="2"/>
        <v>December</v>
      </c>
      <c r="D99" t="s">
        <v>35</v>
      </c>
      <c r="E99" t="s">
        <v>63</v>
      </c>
      <c r="F99" t="s">
        <v>32</v>
      </c>
      <c r="G99">
        <v>1</v>
      </c>
      <c r="H99">
        <v>5933.76</v>
      </c>
      <c r="I99" s="3">
        <v>0</v>
      </c>
      <c r="J99" t="s">
        <v>28</v>
      </c>
      <c r="K99" t="s">
        <v>40</v>
      </c>
      <c r="L99" t="s">
        <v>33</v>
      </c>
      <c r="M99">
        <v>5933.76</v>
      </c>
      <c r="N99" t="str">
        <f t="shared" si="3"/>
        <v>Low</v>
      </c>
    </row>
    <row r="100" spans="1:14" x14ac:dyDescent="0.3">
      <c r="A100" t="s">
        <v>157</v>
      </c>
      <c r="B100" s="1">
        <v>45396</v>
      </c>
      <c r="C100" s="1" t="str">
        <f t="shared" si="2"/>
        <v>April</v>
      </c>
      <c r="D100" t="s">
        <v>35</v>
      </c>
      <c r="E100" t="s">
        <v>63</v>
      </c>
      <c r="F100" t="s">
        <v>1160</v>
      </c>
      <c r="G100">
        <v>1</v>
      </c>
      <c r="H100">
        <v>415.81</v>
      </c>
      <c r="I100" s="3">
        <v>0</v>
      </c>
      <c r="J100" t="s">
        <v>22</v>
      </c>
      <c r="K100" t="s">
        <v>23</v>
      </c>
      <c r="L100" t="s">
        <v>33</v>
      </c>
      <c r="M100">
        <v>415.81</v>
      </c>
      <c r="N100" t="str">
        <f t="shared" si="3"/>
        <v>Low</v>
      </c>
    </row>
    <row r="101" spans="1:14" x14ac:dyDescent="0.3">
      <c r="A101" t="s">
        <v>158</v>
      </c>
      <c r="B101" s="1">
        <v>45425</v>
      </c>
      <c r="C101" s="1" t="str">
        <f t="shared" si="2"/>
        <v>May</v>
      </c>
      <c r="D101" t="s">
        <v>13</v>
      </c>
      <c r="E101" t="s">
        <v>108</v>
      </c>
      <c r="F101" t="s">
        <v>15</v>
      </c>
      <c r="G101">
        <v>1</v>
      </c>
      <c r="H101">
        <v>2904.57</v>
      </c>
      <c r="I101" s="3">
        <v>0.1</v>
      </c>
      <c r="J101" t="s">
        <v>16</v>
      </c>
      <c r="K101" t="s">
        <v>49</v>
      </c>
      <c r="L101" t="s">
        <v>33</v>
      </c>
      <c r="M101">
        <v>2614.11</v>
      </c>
      <c r="N101" t="str">
        <f t="shared" si="3"/>
        <v>Low</v>
      </c>
    </row>
    <row r="102" spans="1:14" x14ac:dyDescent="0.3">
      <c r="A102" t="s">
        <v>159</v>
      </c>
      <c r="B102" s="1">
        <v>45503</v>
      </c>
      <c r="C102" s="1" t="str">
        <f t="shared" si="2"/>
        <v>July</v>
      </c>
      <c r="D102" t="s">
        <v>13</v>
      </c>
      <c r="E102" t="s">
        <v>70</v>
      </c>
      <c r="F102" t="s">
        <v>32</v>
      </c>
      <c r="G102">
        <v>1</v>
      </c>
      <c r="H102">
        <v>3576.13</v>
      </c>
      <c r="I102" s="3">
        <v>0</v>
      </c>
      <c r="J102" t="s">
        <v>16</v>
      </c>
      <c r="K102" t="s">
        <v>40</v>
      </c>
      <c r="L102" t="s">
        <v>33</v>
      </c>
      <c r="M102">
        <v>3576.13</v>
      </c>
      <c r="N102" t="str">
        <f t="shared" si="3"/>
        <v>Low</v>
      </c>
    </row>
    <row r="103" spans="1:14" x14ac:dyDescent="0.3">
      <c r="A103" t="s">
        <v>160</v>
      </c>
      <c r="B103" s="1">
        <v>45560</v>
      </c>
      <c r="C103" s="1" t="str">
        <f t="shared" si="2"/>
        <v>September</v>
      </c>
      <c r="D103" t="s">
        <v>20</v>
      </c>
      <c r="E103" t="s">
        <v>78</v>
      </c>
      <c r="F103" t="s">
        <v>32</v>
      </c>
      <c r="G103">
        <v>2</v>
      </c>
      <c r="H103">
        <v>2413.4299999999998</v>
      </c>
      <c r="I103" s="3">
        <v>0</v>
      </c>
      <c r="J103" t="s">
        <v>16</v>
      </c>
      <c r="K103" t="s">
        <v>17</v>
      </c>
      <c r="L103" t="s">
        <v>33</v>
      </c>
      <c r="M103">
        <v>4826.8599999999997</v>
      </c>
      <c r="N103" t="str">
        <f t="shared" si="3"/>
        <v>Low</v>
      </c>
    </row>
    <row r="104" spans="1:14" x14ac:dyDescent="0.3">
      <c r="A104" t="s">
        <v>161</v>
      </c>
      <c r="B104" s="1">
        <v>45437</v>
      </c>
      <c r="C104" s="1" t="str">
        <f t="shared" si="2"/>
        <v>May</v>
      </c>
      <c r="D104" t="s">
        <v>25</v>
      </c>
      <c r="E104" t="s">
        <v>46</v>
      </c>
      <c r="F104" t="s">
        <v>47</v>
      </c>
      <c r="G104">
        <v>2</v>
      </c>
      <c r="H104">
        <v>7515.57</v>
      </c>
      <c r="I104" s="3">
        <v>0.1</v>
      </c>
      <c r="J104" t="s">
        <v>55</v>
      </c>
      <c r="K104" t="s">
        <v>49</v>
      </c>
      <c r="L104" t="s">
        <v>18</v>
      </c>
      <c r="M104">
        <v>13528.03</v>
      </c>
      <c r="N104" t="str">
        <f t="shared" si="3"/>
        <v>Medium</v>
      </c>
    </row>
    <row r="105" spans="1:14" x14ac:dyDescent="0.3">
      <c r="A105" t="s">
        <v>162</v>
      </c>
      <c r="B105" s="1">
        <v>45497</v>
      </c>
      <c r="C105" s="1" t="str">
        <f t="shared" si="2"/>
        <v>July</v>
      </c>
      <c r="D105" t="s">
        <v>13</v>
      </c>
      <c r="E105" t="s">
        <v>108</v>
      </c>
      <c r="F105" t="s">
        <v>53</v>
      </c>
      <c r="G105">
        <v>4</v>
      </c>
      <c r="H105">
        <v>7150.96</v>
      </c>
      <c r="I105" s="3">
        <v>0</v>
      </c>
      <c r="J105" t="s">
        <v>55</v>
      </c>
      <c r="K105" t="s">
        <v>49</v>
      </c>
      <c r="L105" t="s">
        <v>33</v>
      </c>
      <c r="M105">
        <v>28603.84</v>
      </c>
      <c r="N105" t="str">
        <f t="shared" si="3"/>
        <v>High</v>
      </c>
    </row>
    <row r="106" spans="1:14" x14ac:dyDescent="0.3">
      <c r="A106" t="s">
        <v>163</v>
      </c>
      <c r="B106" s="1">
        <v>45356</v>
      </c>
      <c r="C106" s="1" t="str">
        <f t="shared" si="2"/>
        <v>March</v>
      </c>
      <c r="D106" t="s">
        <v>38</v>
      </c>
      <c r="E106" t="s">
        <v>164</v>
      </c>
      <c r="F106" t="s">
        <v>44</v>
      </c>
      <c r="G106">
        <v>5</v>
      </c>
      <c r="H106">
        <v>4813.59</v>
      </c>
      <c r="I106" s="3">
        <v>0</v>
      </c>
      <c r="J106" t="s">
        <v>16</v>
      </c>
      <c r="K106" t="s">
        <v>49</v>
      </c>
      <c r="L106" t="s">
        <v>33</v>
      </c>
      <c r="M106">
        <v>24067.95</v>
      </c>
      <c r="N106" t="str">
        <f t="shared" si="3"/>
        <v>High</v>
      </c>
    </row>
    <row r="107" spans="1:14" x14ac:dyDescent="0.3">
      <c r="A107" t="s">
        <v>165</v>
      </c>
      <c r="B107" s="1">
        <v>45644</v>
      </c>
      <c r="C107" s="1" t="str">
        <f t="shared" si="2"/>
        <v>December</v>
      </c>
      <c r="D107" t="s">
        <v>20</v>
      </c>
      <c r="E107" t="s">
        <v>78</v>
      </c>
      <c r="F107" t="s">
        <v>44</v>
      </c>
      <c r="G107">
        <v>3</v>
      </c>
      <c r="H107">
        <v>4696.4799999999996</v>
      </c>
      <c r="I107" s="3">
        <v>0.05</v>
      </c>
      <c r="J107" t="s">
        <v>16</v>
      </c>
      <c r="K107" t="s">
        <v>29</v>
      </c>
      <c r="L107" t="s">
        <v>33</v>
      </c>
      <c r="M107">
        <v>13384.97</v>
      </c>
      <c r="N107" t="str">
        <f t="shared" si="3"/>
        <v>Medium</v>
      </c>
    </row>
    <row r="108" spans="1:14" x14ac:dyDescent="0.3">
      <c r="A108" t="s">
        <v>166</v>
      </c>
      <c r="B108" s="1">
        <v>45600</v>
      </c>
      <c r="C108" s="1" t="str">
        <f t="shared" si="2"/>
        <v>November</v>
      </c>
      <c r="D108" t="s">
        <v>20</v>
      </c>
      <c r="E108" t="s">
        <v>61</v>
      </c>
      <c r="F108" t="s">
        <v>80</v>
      </c>
      <c r="G108">
        <v>5</v>
      </c>
      <c r="H108">
        <v>2886.76</v>
      </c>
      <c r="I108" s="3">
        <v>0.1</v>
      </c>
      <c r="J108" t="s">
        <v>16</v>
      </c>
      <c r="K108" t="s">
        <v>23</v>
      </c>
      <c r="L108" t="s">
        <v>18</v>
      </c>
      <c r="M108">
        <v>12990.42</v>
      </c>
      <c r="N108" t="str">
        <f t="shared" si="3"/>
        <v>Medium</v>
      </c>
    </row>
    <row r="109" spans="1:14" x14ac:dyDescent="0.3">
      <c r="A109" t="s">
        <v>167</v>
      </c>
      <c r="B109" s="1">
        <v>45367</v>
      </c>
      <c r="C109" s="1" t="str">
        <f t="shared" si="2"/>
        <v>March</v>
      </c>
      <c r="D109" t="s">
        <v>20</v>
      </c>
      <c r="E109" t="s">
        <v>78</v>
      </c>
      <c r="F109" t="s">
        <v>47</v>
      </c>
      <c r="G109">
        <v>3</v>
      </c>
      <c r="H109">
        <v>5906.35</v>
      </c>
      <c r="I109" s="3">
        <v>0.2</v>
      </c>
      <c r="J109" t="s">
        <v>16</v>
      </c>
      <c r="K109" t="s">
        <v>17</v>
      </c>
      <c r="L109" t="s">
        <v>33</v>
      </c>
      <c r="M109">
        <v>14175.24</v>
      </c>
      <c r="N109" t="str">
        <f t="shared" si="3"/>
        <v>Medium</v>
      </c>
    </row>
    <row r="110" spans="1:14" x14ac:dyDescent="0.3">
      <c r="A110" t="s">
        <v>168</v>
      </c>
      <c r="B110" s="1">
        <v>45515</v>
      </c>
      <c r="C110" s="1" t="str">
        <f t="shared" si="2"/>
        <v>August</v>
      </c>
      <c r="D110" t="s">
        <v>35</v>
      </c>
      <c r="E110" t="s">
        <v>68</v>
      </c>
      <c r="F110" t="s">
        <v>15</v>
      </c>
      <c r="G110">
        <v>6</v>
      </c>
      <c r="H110">
        <v>1896.25</v>
      </c>
      <c r="I110" s="3">
        <v>0.1</v>
      </c>
      <c r="J110" t="s">
        <v>55</v>
      </c>
      <c r="K110" t="s">
        <v>23</v>
      </c>
      <c r="L110" t="s">
        <v>33</v>
      </c>
      <c r="M110">
        <f>Orders[[#This Row],[Quantity]]*Orders[[#This Row],[UnitPrice]]-Orders[[#This Row],[Discount%]]</f>
        <v>11377.4</v>
      </c>
      <c r="N110" t="str">
        <f t="shared" si="3"/>
        <v>Medium</v>
      </c>
    </row>
    <row r="111" spans="1:14" x14ac:dyDescent="0.3">
      <c r="A111" t="s">
        <v>169</v>
      </c>
      <c r="B111" s="1">
        <v>45409</v>
      </c>
      <c r="C111" s="1" t="str">
        <f t="shared" si="2"/>
        <v>April</v>
      </c>
      <c r="D111" t="s">
        <v>25</v>
      </c>
      <c r="E111" t="s">
        <v>94</v>
      </c>
      <c r="F111" t="s">
        <v>15</v>
      </c>
      <c r="G111">
        <v>6</v>
      </c>
      <c r="H111">
        <v>5819.42</v>
      </c>
      <c r="I111" s="3">
        <v>0.1</v>
      </c>
      <c r="J111" t="s">
        <v>22</v>
      </c>
      <c r="K111" t="s">
        <v>40</v>
      </c>
      <c r="L111" t="s">
        <v>33</v>
      </c>
      <c r="M111">
        <v>31424.87</v>
      </c>
      <c r="N111" t="str">
        <f t="shared" si="3"/>
        <v>High</v>
      </c>
    </row>
    <row r="112" spans="1:14" x14ac:dyDescent="0.3">
      <c r="A112" t="s">
        <v>170</v>
      </c>
      <c r="B112" s="1">
        <v>45420</v>
      </c>
      <c r="C112" s="1" t="str">
        <f t="shared" si="2"/>
        <v>May</v>
      </c>
      <c r="D112" t="s">
        <v>20</v>
      </c>
      <c r="E112" t="s">
        <v>78</v>
      </c>
      <c r="F112" t="s">
        <v>47</v>
      </c>
      <c r="G112">
        <v>4</v>
      </c>
      <c r="H112">
        <v>3939.54</v>
      </c>
      <c r="I112" s="3">
        <v>0</v>
      </c>
      <c r="J112" t="s">
        <v>28</v>
      </c>
      <c r="K112" t="s">
        <v>29</v>
      </c>
      <c r="L112" t="s">
        <v>18</v>
      </c>
      <c r="M112">
        <v>15758.16</v>
      </c>
      <c r="N112" t="str">
        <f t="shared" si="3"/>
        <v>Medium</v>
      </c>
    </row>
    <row r="113" spans="1:14" x14ac:dyDescent="0.3">
      <c r="A113" t="s">
        <v>171</v>
      </c>
      <c r="B113" s="1">
        <v>45311</v>
      </c>
      <c r="C113" s="1" t="str">
        <f t="shared" si="2"/>
        <v>January</v>
      </c>
      <c r="D113" t="s">
        <v>38</v>
      </c>
      <c r="E113" t="s">
        <v>39</v>
      </c>
      <c r="F113" t="s">
        <v>53</v>
      </c>
      <c r="G113">
        <v>3</v>
      </c>
      <c r="H113">
        <v>4415.38</v>
      </c>
      <c r="I113" s="3">
        <v>0.05</v>
      </c>
      <c r="J113" t="s">
        <v>22</v>
      </c>
      <c r="K113" t="s">
        <v>49</v>
      </c>
      <c r="L113" t="s">
        <v>33</v>
      </c>
      <c r="M113">
        <v>12583.83</v>
      </c>
      <c r="N113" t="str">
        <f t="shared" si="3"/>
        <v>Medium</v>
      </c>
    </row>
    <row r="114" spans="1:14" x14ac:dyDescent="0.3">
      <c r="A114" t="s">
        <v>172</v>
      </c>
      <c r="B114" s="1">
        <v>45554</v>
      </c>
      <c r="C114" s="1" t="str">
        <f t="shared" si="2"/>
        <v>September</v>
      </c>
      <c r="D114" t="s">
        <v>25</v>
      </c>
      <c r="E114" t="s">
        <v>26</v>
      </c>
      <c r="F114" t="s">
        <v>44</v>
      </c>
      <c r="G114">
        <v>1</v>
      </c>
      <c r="H114">
        <v>5168.2</v>
      </c>
      <c r="I114" s="3">
        <v>0.15</v>
      </c>
      <c r="J114" t="s">
        <v>28</v>
      </c>
      <c r="K114" t="s">
        <v>23</v>
      </c>
      <c r="L114" t="s">
        <v>33</v>
      </c>
      <c r="M114">
        <v>4392.97</v>
      </c>
      <c r="N114" t="str">
        <f t="shared" si="3"/>
        <v>Low</v>
      </c>
    </row>
    <row r="115" spans="1:14" x14ac:dyDescent="0.3">
      <c r="A115" t="s">
        <v>173</v>
      </c>
      <c r="B115" s="1">
        <v>45618</v>
      </c>
      <c r="C115" s="1" t="str">
        <f t="shared" si="2"/>
        <v>November</v>
      </c>
      <c r="D115" t="s">
        <v>25</v>
      </c>
      <c r="E115" t="s">
        <v>31</v>
      </c>
      <c r="F115" t="s">
        <v>80</v>
      </c>
      <c r="G115">
        <v>1</v>
      </c>
      <c r="H115">
        <v>2131.79</v>
      </c>
      <c r="I115" s="3">
        <v>0.2</v>
      </c>
      <c r="J115" t="s">
        <v>55</v>
      </c>
      <c r="K115" t="s">
        <v>29</v>
      </c>
      <c r="L115" t="s">
        <v>33</v>
      </c>
      <c r="M115">
        <v>1705.43</v>
      </c>
      <c r="N115" t="str">
        <f t="shared" si="3"/>
        <v>Low</v>
      </c>
    </row>
    <row r="116" spans="1:14" x14ac:dyDescent="0.3">
      <c r="A116" t="s">
        <v>174</v>
      </c>
      <c r="B116" s="1">
        <v>45497</v>
      </c>
      <c r="C116" s="1" t="str">
        <f t="shared" si="2"/>
        <v>July</v>
      </c>
      <c r="D116" t="s">
        <v>35</v>
      </c>
      <c r="E116" t="s">
        <v>63</v>
      </c>
      <c r="F116" t="s">
        <v>27</v>
      </c>
      <c r="G116">
        <v>5</v>
      </c>
      <c r="H116">
        <v>7776.28</v>
      </c>
      <c r="I116" s="3">
        <v>0.2</v>
      </c>
      <c r="J116" t="s">
        <v>55</v>
      </c>
      <c r="K116" t="s">
        <v>23</v>
      </c>
      <c r="L116" t="s">
        <v>33</v>
      </c>
      <c r="M116">
        <v>31105.119999999999</v>
      </c>
      <c r="N116" t="str">
        <f t="shared" si="3"/>
        <v>High</v>
      </c>
    </row>
    <row r="117" spans="1:14" x14ac:dyDescent="0.3">
      <c r="A117" t="s">
        <v>175</v>
      </c>
      <c r="B117" s="1">
        <v>45472</v>
      </c>
      <c r="C117" s="1" t="str">
        <f t="shared" si="2"/>
        <v>June</v>
      </c>
      <c r="D117" t="s">
        <v>25</v>
      </c>
      <c r="E117" t="s">
        <v>26</v>
      </c>
      <c r="F117" t="s">
        <v>47</v>
      </c>
      <c r="G117">
        <v>6</v>
      </c>
      <c r="H117">
        <v>5164.55</v>
      </c>
      <c r="I117" s="3">
        <v>0.2</v>
      </c>
      <c r="J117" t="s">
        <v>55</v>
      </c>
      <c r="K117" t="s">
        <v>17</v>
      </c>
      <c r="L117" t="s">
        <v>33</v>
      </c>
      <c r="M117">
        <v>24789.84</v>
      </c>
      <c r="N117" t="str">
        <f t="shared" si="3"/>
        <v>High</v>
      </c>
    </row>
    <row r="118" spans="1:14" x14ac:dyDescent="0.3">
      <c r="A118" t="s">
        <v>176</v>
      </c>
      <c r="B118" s="1">
        <v>45643</v>
      </c>
      <c r="C118" s="1" t="str">
        <f t="shared" si="2"/>
        <v>December</v>
      </c>
      <c r="D118" t="s">
        <v>20</v>
      </c>
      <c r="E118" t="s">
        <v>59</v>
      </c>
      <c r="F118" t="s">
        <v>15</v>
      </c>
      <c r="G118">
        <v>3</v>
      </c>
      <c r="H118">
        <v>7865.69</v>
      </c>
      <c r="I118" s="3">
        <v>0.05</v>
      </c>
      <c r="J118" t="s">
        <v>55</v>
      </c>
      <c r="K118" t="s">
        <v>29</v>
      </c>
      <c r="L118" t="s">
        <v>33</v>
      </c>
      <c r="M118">
        <v>22417.22</v>
      </c>
      <c r="N118" t="str">
        <f t="shared" si="3"/>
        <v>High</v>
      </c>
    </row>
    <row r="119" spans="1:14" x14ac:dyDescent="0.3">
      <c r="A119" t="s">
        <v>177</v>
      </c>
      <c r="B119" s="1">
        <v>45611</v>
      </c>
      <c r="C119" s="1" t="str">
        <f t="shared" si="2"/>
        <v>November</v>
      </c>
      <c r="D119" t="s">
        <v>38</v>
      </c>
      <c r="E119" t="s">
        <v>39</v>
      </c>
      <c r="F119" t="s">
        <v>15</v>
      </c>
      <c r="G119">
        <v>6</v>
      </c>
      <c r="H119">
        <v>820.56</v>
      </c>
      <c r="I119" s="3">
        <v>0.15</v>
      </c>
      <c r="J119" t="s">
        <v>16</v>
      </c>
      <c r="K119" t="s">
        <v>29</v>
      </c>
      <c r="L119" t="s">
        <v>33</v>
      </c>
      <c r="M119">
        <v>4184.8599999999997</v>
      </c>
      <c r="N119" t="str">
        <f t="shared" si="3"/>
        <v>Low</v>
      </c>
    </row>
    <row r="120" spans="1:14" x14ac:dyDescent="0.3">
      <c r="A120" t="s">
        <v>178</v>
      </c>
      <c r="B120" s="1">
        <v>45628</v>
      </c>
      <c r="C120" s="1" t="str">
        <f t="shared" si="2"/>
        <v>December</v>
      </c>
      <c r="D120" t="s">
        <v>25</v>
      </c>
      <c r="E120" t="s">
        <v>46</v>
      </c>
      <c r="F120" t="s">
        <v>32</v>
      </c>
      <c r="G120">
        <v>1</v>
      </c>
      <c r="H120">
        <v>1796.53</v>
      </c>
      <c r="I120" s="3">
        <v>0</v>
      </c>
      <c r="J120" t="s">
        <v>22</v>
      </c>
      <c r="K120" t="s">
        <v>23</v>
      </c>
      <c r="L120" t="s">
        <v>33</v>
      </c>
      <c r="M120">
        <v>1796.53</v>
      </c>
      <c r="N120" t="str">
        <f t="shared" si="3"/>
        <v>Low</v>
      </c>
    </row>
    <row r="121" spans="1:14" x14ac:dyDescent="0.3">
      <c r="A121" t="s">
        <v>179</v>
      </c>
      <c r="B121" s="1">
        <v>45498</v>
      </c>
      <c r="C121" s="1" t="str">
        <f t="shared" si="2"/>
        <v>July</v>
      </c>
      <c r="D121" t="s">
        <v>13</v>
      </c>
      <c r="E121" t="s">
        <v>14</v>
      </c>
      <c r="F121" t="s">
        <v>1160</v>
      </c>
      <c r="G121">
        <v>5</v>
      </c>
      <c r="H121">
        <v>1468.12</v>
      </c>
      <c r="I121" s="3">
        <v>0</v>
      </c>
      <c r="J121" t="s">
        <v>22</v>
      </c>
      <c r="K121" t="s">
        <v>17</v>
      </c>
      <c r="L121" t="s">
        <v>33</v>
      </c>
      <c r="M121">
        <v>7340.6</v>
      </c>
      <c r="N121" t="str">
        <f t="shared" si="3"/>
        <v>Low</v>
      </c>
    </row>
    <row r="122" spans="1:14" x14ac:dyDescent="0.3">
      <c r="A122" t="s">
        <v>180</v>
      </c>
      <c r="B122" s="1">
        <v>45635</v>
      </c>
      <c r="C122" s="1" t="str">
        <f t="shared" si="2"/>
        <v>December</v>
      </c>
      <c r="D122" t="s">
        <v>25</v>
      </c>
      <c r="E122" t="s">
        <v>31</v>
      </c>
      <c r="F122" t="s">
        <v>44</v>
      </c>
      <c r="G122">
        <v>1</v>
      </c>
      <c r="H122">
        <v>4507.25</v>
      </c>
      <c r="I122" s="3">
        <v>0.1</v>
      </c>
      <c r="J122" t="s">
        <v>55</v>
      </c>
      <c r="K122" t="s">
        <v>17</v>
      </c>
      <c r="L122" t="s">
        <v>33</v>
      </c>
      <c r="M122">
        <v>4056.53</v>
      </c>
      <c r="N122" t="str">
        <f t="shared" si="3"/>
        <v>Low</v>
      </c>
    </row>
    <row r="123" spans="1:14" x14ac:dyDescent="0.3">
      <c r="A123" t="s">
        <v>181</v>
      </c>
      <c r="B123" s="1">
        <v>45376</v>
      </c>
      <c r="C123" s="1" t="str">
        <f t="shared" si="2"/>
        <v>March</v>
      </c>
      <c r="D123" t="s">
        <v>38</v>
      </c>
      <c r="E123" t="s">
        <v>164</v>
      </c>
      <c r="F123" t="s">
        <v>44</v>
      </c>
      <c r="G123">
        <v>5</v>
      </c>
      <c r="H123">
        <v>4856.87</v>
      </c>
      <c r="I123" s="3">
        <v>0</v>
      </c>
      <c r="J123" t="s">
        <v>16</v>
      </c>
      <c r="K123" t="s">
        <v>17</v>
      </c>
      <c r="L123" t="s">
        <v>33</v>
      </c>
      <c r="M123">
        <v>24284.35</v>
      </c>
      <c r="N123" t="str">
        <f t="shared" si="3"/>
        <v>High</v>
      </c>
    </row>
    <row r="124" spans="1:14" x14ac:dyDescent="0.3">
      <c r="A124" t="s">
        <v>182</v>
      </c>
      <c r="B124" s="1">
        <v>45384</v>
      </c>
      <c r="C124" s="1" t="str">
        <f t="shared" si="2"/>
        <v>April</v>
      </c>
      <c r="D124" t="s">
        <v>38</v>
      </c>
      <c r="E124" t="s">
        <v>39</v>
      </c>
      <c r="F124" t="s">
        <v>53</v>
      </c>
      <c r="G124">
        <v>6</v>
      </c>
      <c r="H124">
        <v>2978.95</v>
      </c>
      <c r="I124" s="3">
        <v>0</v>
      </c>
      <c r="J124" t="s">
        <v>16</v>
      </c>
      <c r="K124" t="s">
        <v>40</v>
      </c>
      <c r="L124" t="s">
        <v>33</v>
      </c>
      <c r="M124">
        <v>17873.7</v>
      </c>
      <c r="N124" t="str">
        <f t="shared" si="3"/>
        <v>Medium</v>
      </c>
    </row>
    <row r="125" spans="1:14" x14ac:dyDescent="0.3">
      <c r="A125" t="s">
        <v>183</v>
      </c>
      <c r="B125" s="1">
        <v>45401</v>
      </c>
      <c r="C125" s="1" t="str">
        <f t="shared" si="2"/>
        <v>April</v>
      </c>
      <c r="D125" t="s">
        <v>38</v>
      </c>
      <c r="E125" t="s">
        <v>164</v>
      </c>
      <c r="F125" t="s">
        <v>32</v>
      </c>
      <c r="G125">
        <v>6</v>
      </c>
      <c r="H125">
        <v>3412.39</v>
      </c>
      <c r="I125" s="3">
        <v>0.05</v>
      </c>
      <c r="J125" t="s">
        <v>16</v>
      </c>
      <c r="K125" t="s">
        <v>49</v>
      </c>
      <c r="L125" t="s">
        <v>33</v>
      </c>
      <c r="M125">
        <v>19450.62</v>
      </c>
      <c r="N125" t="str">
        <f t="shared" si="3"/>
        <v>Medium</v>
      </c>
    </row>
    <row r="126" spans="1:14" x14ac:dyDescent="0.3">
      <c r="A126" t="s">
        <v>184</v>
      </c>
      <c r="B126" s="1">
        <v>45508</v>
      </c>
      <c r="C126" s="1" t="str">
        <f t="shared" si="2"/>
        <v>August</v>
      </c>
      <c r="D126" t="s">
        <v>13</v>
      </c>
      <c r="E126" t="s">
        <v>74</v>
      </c>
      <c r="F126" t="s">
        <v>80</v>
      </c>
      <c r="G126">
        <v>3</v>
      </c>
      <c r="H126">
        <v>4499.12</v>
      </c>
      <c r="I126" s="3">
        <v>0.1</v>
      </c>
      <c r="J126" t="s">
        <v>16</v>
      </c>
      <c r="K126" t="s">
        <v>49</v>
      </c>
      <c r="L126" t="s">
        <v>33</v>
      </c>
      <c r="M126">
        <v>12147.62</v>
      </c>
      <c r="N126" t="str">
        <f t="shared" si="3"/>
        <v>Medium</v>
      </c>
    </row>
    <row r="127" spans="1:14" x14ac:dyDescent="0.3">
      <c r="A127" t="s">
        <v>185</v>
      </c>
      <c r="B127" s="1">
        <v>45461</v>
      </c>
      <c r="C127" s="1" t="str">
        <f t="shared" si="2"/>
        <v>June</v>
      </c>
      <c r="D127" t="s">
        <v>20</v>
      </c>
      <c r="E127" t="s">
        <v>78</v>
      </c>
      <c r="F127" t="s">
        <v>53</v>
      </c>
      <c r="G127">
        <v>2</v>
      </c>
      <c r="H127">
        <v>2639.19</v>
      </c>
      <c r="I127" s="3">
        <v>0.1</v>
      </c>
      <c r="J127" t="s">
        <v>16</v>
      </c>
      <c r="K127" t="s">
        <v>49</v>
      </c>
      <c r="L127" t="s">
        <v>33</v>
      </c>
      <c r="M127">
        <v>4750.54</v>
      </c>
      <c r="N127" t="str">
        <f t="shared" si="3"/>
        <v>Low</v>
      </c>
    </row>
    <row r="128" spans="1:14" x14ac:dyDescent="0.3">
      <c r="A128" t="s">
        <v>186</v>
      </c>
      <c r="B128" s="1">
        <v>45496</v>
      </c>
      <c r="C128" s="1" t="str">
        <f t="shared" si="2"/>
        <v>July</v>
      </c>
      <c r="D128" t="s">
        <v>25</v>
      </c>
      <c r="E128" t="s">
        <v>94</v>
      </c>
      <c r="F128" t="s">
        <v>32</v>
      </c>
      <c r="G128">
        <v>3</v>
      </c>
      <c r="H128">
        <v>1001.73</v>
      </c>
      <c r="I128" s="3">
        <v>0</v>
      </c>
      <c r="J128" t="s">
        <v>16</v>
      </c>
      <c r="K128" t="s">
        <v>49</v>
      </c>
      <c r="L128" t="s">
        <v>33</v>
      </c>
      <c r="M128">
        <v>3005.19</v>
      </c>
      <c r="N128" t="str">
        <f t="shared" si="3"/>
        <v>Low</v>
      </c>
    </row>
    <row r="129" spans="1:14" x14ac:dyDescent="0.3">
      <c r="A129" t="s">
        <v>187</v>
      </c>
      <c r="B129" s="1">
        <v>45400</v>
      </c>
      <c r="C129" s="1" t="str">
        <f t="shared" si="2"/>
        <v>April</v>
      </c>
      <c r="D129" t="s">
        <v>25</v>
      </c>
      <c r="E129" t="s">
        <v>26</v>
      </c>
      <c r="F129" t="s">
        <v>53</v>
      </c>
      <c r="G129">
        <v>1</v>
      </c>
      <c r="H129">
        <v>5385.97</v>
      </c>
      <c r="I129" s="3">
        <v>0.25</v>
      </c>
      <c r="J129" t="s">
        <v>22</v>
      </c>
      <c r="K129" t="s">
        <v>40</v>
      </c>
      <c r="L129" t="s">
        <v>18</v>
      </c>
      <c r="M129">
        <v>4039.48</v>
      </c>
      <c r="N129" t="str">
        <f t="shared" si="3"/>
        <v>Low</v>
      </c>
    </row>
    <row r="130" spans="1:14" x14ac:dyDescent="0.3">
      <c r="A130" t="s">
        <v>188</v>
      </c>
      <c r="B130" s="1">
        <v>45579</v>
      </c>
      <c r="C130" s="1" t="str">
        <f t="shared" ref="C130:C193" si="4">TEXT(B130,"mmmm")</f>
        <v>October</v>
      </c>
      <c r="D130" t="s">
        <v>13</v>
      </c>
      <c r="E130" t="s">
        <v>14</v>
      </c>
      <c r="F130" t="s">
        <v>27</v>
      </c>
      <c r="G130">
        <v>6</v>
      </c>
      <c r="H130">
        <v>2175.3200000000002</v>
      </c>
      <c r="I130" s="3">
        <v>0.1</v>
      </c>
      <c r="J130" t="s">
        <v>16</v>
      </c>
      <c r="K130" t="s">
        <v>40</v>
      </c>
      <c r="L130" t="s">
        <v>33</v>
      </c>
      <c r="M130">
        <v>11746.73</v>
      </c>
      <c r="N130" t="str">
        <f t="shared" ref="N130:N193" si="5">IF(M130&gt;20000,"High",IF(M130&gt;10000,"Medium","Low"))</f>
        <v>Medium</v>
      </c>
    </row>
    <row r="131" spans="1:14" x14ac:dyDescent="0.3">
      <c r="A131" t="s">
        <v>189</v>
      </c>
      <c r="B131" s="1">
        <v>45352</v>
      </c>
      <c r="C131" s="1" t="str">
        <f t="shared" si="4"/>
        <v>March</v>
      </c>
      <c r="D131" t="s">
        <v>25</v>
      </c>
      <c r="E131" t="s">
        <v>94</v>
      </c>
      <c r="F131" t="s">
        <v>32</v>
      </c>
      <c r="G131">
        <v>4</v>
      </c>
      <c r="H131">
        <v>4666.2700000000004</v>
      </c>
      <c r="I131" s="3">
        <v>0.2</v>
      </c>
      <c r="J131" t="s">
        <v>55</v>
      </c>
      <c r="K131" t="s">
        <v>23</v>
      </c>
      <c r="L131" t="s">
        <v>33</v>
      </c>
      <c r="M131">
        <v>14932.06</v>
      </c>
      <c r="N131" t="str">
        <f t="shared" si="5"/>
        <v>Medium</v>
      </c>
    </row>
    <row r="132" spans="1:14" x14ac:dyDescent="0.3">
      <c r="A132" t="s">
        <v>190</v>
      </c>
      <c r="B132" s="1">
        <v>45334</v>
      </c>
      <c r="C132" s="1" t="str">
        <f t="shared" si="4"/>
        <v>February</v>
      </c>
      <c r="D132" t="s">
        <v>38</v>
      </c>
      <c r="E132" t="s">
        <v>51</v>
      </c>
      <c r="F132" t="s">
        <v>53</v>
      </c>
      <c r="G132">
        <v>6</v>
      </c>
      <c r="H132">
        <v>3856.71</v>
      </c>
      <c r="I132" s="3">
        <v>0.05</v>
      </c>
      <c r="J132" t="s">
        <v>22</v>
      </c>
      <c r="K132" t="s">
        <v>40</v>
      </c>
      <c r="L132" t="s">
        <v>33</v>
      </c>
      <c r="M132">
        <v>21983.25</v>
      </c>
      <c r="N132" t="str">
        <f t="shared" si="5"/>
        <v>High</v>
      </c>
    </row>
    <row r="133" spans="1:14" x14ac:dyDescent="0.3">
      <c r="A133" t="s">
        <v>191</v>
      </c>
      <c r="B133" s="1">
        <v>45301</v>
      </c>
      <c r="C133" s="1" t="str">
        <f t="shared" si="4"/>
        <v>January</v>
      </c>
      <c r="D133" t="s">
        <v>35</v>
      </c>
      <c r="E133" t="s">
        <v>63</v>
      </c>
      <c r="F133" t="s">
        <v>44</v>
      </c>
      <c r="G133">
        <v>3</v>
      </c>
      <c r="H133">
        <v>5796.91</v>
      </c>
      <c r="I133" s="3">
        <v>0.1</v>
      </c>
      <c r="J133" t="s">
        <v>55</v>
      </c>
      <c r="K133" t="s">
        <v>23</v>
      </c>
      <c r="L133" t="s">
        <v>18</v>
      </c>
      <c r="M133">
        <v>15651.66</v>
      </c>
      <c r="N133" t="str">
        <f t="shared" si="5"/>
        <v>Medium</v>
      </c>
    </row>
    <row r="134" spans="1:14" x14ac:dyDescent="0.3">
      <c r="A134" t="s">
        <v>192</v>
      </c>
      <c r="B134" s="1">
        <v>45527</v>
      </c>
      <c r="C134" s="1" t="str">
        <f t="shared" si="4"/>
        <v>August</v>
      </c>
      <c r="D134" t="s">
        <v>13</v>
      </c>
      <c r="E134" t="s">
        <v>70</v>
      </c>
      <c r="F134" t="s">
        <v>44</v>
      </c>
      <c r="G134">
        <v>6</v>
      </c>
      <c r="H134">
        <v>7468.92</v>
      </c>
      <c r="I134" s="3">
        <v>0.1</v>
      </c>
      <c r="J134" t="s">
        <v>16</v>
      </c>
      <c r="K134" t="s">
        <v>49</v>
      </c>
      <c r="L134" t="s">
        <v>18</v>
      </c>
      <c r="M134">
        <v>40332.17</v>
      </c>
      <c r="N134" t="str">
        <f t="shared" si="5"/>
        <v>High</v>
      </c>
    </row>
    <row r="135" spans="1:14" x14ac:dyDescent="0.3">
      <c r="A135" t="s">
        <v>193</v>
      </c>
      <c r="B135" s="1">
        <v>45599</v>
      </c>
      <c r="C135" s="1" t="str">
        <f t="shared" si="4"/>
        <v>November</v>
      </c>
      <c r="D135" t="s">
        <v>38</v>
      </c>
      <c r="E135" t="s">
        <v>100</v>
      </c>
      <c r="F135" t="s">
        <v>27</v>
      </c>
      <c r="G135">
        <v>2</v>
      </c>
      <c r="H135">
        <v>7667.94</v>
      </c>
      <c r="I135" s="3">
        <v>0.25</v>
      </c>
      <c r="J135" t="s">
        <v>28</v>
      </c>
      <c r="K135" t="s">
        <v>23</v>
      </c>
      <c r="L135" t="s">
        <v>33</v>
      </c>
      <c r="M135">
        <v>11501.91</v>
      </c>
      <c r="N135" t="str">
        <f t="shared" si="5"/>
        <v>Medium</v>
      </c>
    </row>
    <row r="136" spans="1:14" x14ac:dyDescent="0.3">
      <c r="A136" t="s">
        <v>194</v>
      </c>
      <c r="B136" s="1">
        <v>45614</v>
      </c>
      <c r="C136" s="1" t="str">
        <f t="shared" si="4"/>
        <v>November</v>
      </c>
      <c r="D136" t="s">
        <v>35</v>
      </c>
      <c r="E136" t="s">
        <v>97</v>
      </c>
      <c r="F136" t="s">
        <v>47</v>
      </c>
      <c r="G136">
        <v>4</v>
      </c>
      <c r="H136">
        <v>3894.15</v>
      </c>
      <c r="I136" s="3">
        <v>0.25</v>
      </c>
      <c r="J136" t="s">
        <v>16</v>
      </c>
      <c r="K136" t="s">
        <v>49</v>
      </c>
      <c r="L136" t="s">
        <v>33</v>
      </c>
      <c r="M136">
        <v>11682.45</v>
      </c>
      <c r="N136" t="str">
        <f t="shared" si="5"/>
        <v>Medium</v>
      </c>
    </row>
    <row r="137" spans="1:14" x14ac:dyDescent="0.3">
      <c r="A137" t="s">
        <v>195</v>
      </c>
      <c r="B137" s="1">
        <v>45599</v>
      </c>
      <c r="C137" s="1" t="str">
        <f t="shared" si="4"/>
        <v>November</v>
      </c>
      <c r="D137" t="s">
        <v>25</v>
      </c>
      <c r="E137" t="s">
        <v>31</v>
      </c>
      <c r="F137" t="s">
        <v>47</v>
      </c>
      <c r="G137">
        <v>3</v>
      </c>
      <c r="H137">
        <v>4739.6499999999996</v>
      </c>
      <c r="I137" s="3">
        <v>0.1</v>
      </c>
      <c r="J137" t="s">
        <v>55</v>
      </c>
      <c r="K137" t="s">
        <v>17</v>
      </c>
      <c r="L137" t="s">
        <v>33</v>
      </c>
      <c r="M137">
        <v>12797.05</v>
      </c>
      <c r="N137" t="str">
        <f t="shared" si="5"/>
        <v>Medium</v>
      </c>
    </row>
    <row r="138" spans="1:14" x14ac:dyDescent="0.3">
      <c r="A138" t="s">
        <v>196</v>
      </c>
      <c r="B138" s="1">
        <v>45429</v>
      </c>
      <c r="C138" s="1" t="str">
        <f t="shared" si="4"/>
        <v>May</v>
      </c>
      <c r="D138" t="s">
        <v>35</v>
      </c>
      <c r="E138" t="s">
        <v>97</v>
      </c>
      <c r="F138" t="s">
        <v>27</v>
      </c>
      <c r="G138">
        <v>4</v>
      </c>
      <c r="H138">
        <v>1384.65</v>
      </c>
      <c r="I138" s="3">
        <v>0</v>
      </c>
      <c r="J138" t="s">
        <v>16</v>
      </c>
      <c r="K138" t="s">
        <v>29</v>
      </c>
      <c r="L138" t="s">
        <v>33</v>
      </c>
      <c r="M138">
        <v>5538.6</v>
      </c>
      <c r="N138" t="str">
        <f t="shared" si="5"/>
        <v>Low</v>
      </c>
    </row>
    <row r="139" spans="1:14" x14ac:dyDescent="0.3">
      <c r="A139" t="s">
        <v>197</v>
      </c>
      <c r="B139" s="1">
        <v>45568</v>
      </c>
      <c r="C139" s="1" t="str">
        <f t="shared" si="4"/>
        <v>October</v>
      </c>
      <c r="D139" t="s">
        <v>13</v>
      </c>
      <c r="E139" t="s">
        <v>70</v>
      </c>
      <c r="F139" t="s">
        <v>53</v>
      </c>
      <c r="G139">
        <v>5</v>
      </c>
      <c r="H139">
        <v>3955.39</v>
      </c>
      <c r="I139" s="3">
        <v>0.2</v>
      </c>
      <c r="J139" t="s">
        <v>16</v>
      </c>
      <c r="K139" t="s">
        <v>40</v>
      </c>
      <c r="L139" t="s">
        <v>33</v>
      </c>
      <c r="M139">
        <v>15821.56</v>
      </c>
      <c r="N139" t="str">
        <f t="shared" si="5"/>
        <v>Medium</v>
      </c>
    </row>
    <row r="140" spans="1:14" x14ac:dyDescent="0.3">
      <c r="A140" t="s">
        <v>198</v>
      </c>
      <c r="B140" s="1">
        <v>45592</v>
      </c>
      <c r="C140" s="1" t="str">
        <f t="shared" si="4"/>
        <v>October</v>
      </c>
      <c r="D140" t="s">
        <v>38</v>
      </c>
      <c r="E140" t="s">
        <v>164</v>
      </c>
      <c r="F140" t="s">
        <v>27</v>
      </c>
      <c r="G140">
        <v>1</v>
      </c>
      <c r="H140">
        <v>6364.57</v>
      </c>
      <c r="I140" s="3">
        <v>0.25</v>
      </c>
      <c r="J140" t="s">
        <v>28</v>
      </c>
      <c r="K140" t="s">
        <v>49</v>
      </c>
      <c r="L140" t="s">
        <v>33</v>
      </c>
      <c r="M140">
        <v>4773.43</v>
      </c>
      <c r="N140" t="str">
        <f t="shared" si="5"/>
        <v>Low</v>
      </c>
    </row>
    <row r="141" spans="1:14" x14ac:dyDescent="0.3">
      <c r="A141" t="s">
        <v>199</v>
      </c>
      <c r="B141" s="1">
        <v>45551</v>
      </c>
      <c r="C141" s="1" t="str">
        <f t="shared" si="4"/>
        <v>September</v>
      </c>
      <c r="D141" t="s">
        <v>25</v>
      </c>
      <c r="E141" t="s">
        <v>46</v>
      </c>
      <c r="F141" t="s">
        <v>44</v>
      </c>
      <c r="G141">
        <v>5</v>
      </c>
      <c r="H141">
        <v>1734.68</v>
      </c>
      <c r="I141" s="3">
        <v>0.1</v>
      </c>
      <c r="J141" t="s">
        <v>16</v>
      </c>
      <c r="K141" t="s">
        <v>29</v>
      </c>
      <c r="L141" t="s">
        <v>33</v>
      </c>
      <c r="M141">
        <v>7806.06</v>
      </c>
      <c r="N141" t="str">
        <f t="shared" si="5"/>
        <v>Low</v>
      </c>
    </row>
    <row r="142" spans="1:14" x14ac:dyDescent="0.3">
      <c r="A142" t="s">
        <v>200</v>
      </c>
      <c r="B142" s="1">
        <v>45314</v>
      </c>
      <c r="C142" s="1" t="str">
        <f t="shared" si="4"/>
        <v>January</v>
      </c>
      <c r="D142" t="s">
        <v>25</v>
      </c>
      <c r="E142" t="s">
        <v>26</v>
      </c>
      <c r="F142" t="s">
        <v>1160</v>
      </c>
      <c r="G142">
        <v>4</v>
      </c>
      <c r="H142">
        <v>3086.22</v>
      </c>
      <c r="I142" s="3">
        <v>0</v>
      </c>
      <c r="J142" t="s">
        <v>16</v>
      </c>
      <c r="K142" t="s">
        <v>29</v>
      </c>
      <c r="L142" t="s">
        <v>33</v>
      </c>
      <c r="M142">
        <v>12344.88</v>
      </c>
      <c r="N142" t="str">
        <f t="shared" si="5"/>
        <v>Medium</v>
      </c>
    </row>
    <row r="143" spans="1:14" x14ac:dyDescent="0.3">
      <c r="A143" t="s">
        <v>201</v>
      </c>
      <c r="B143" s="1">
        <v>45340</v>
      </c>
      <c r="C143" s="1" t="str">
        <f t="shared" si="4"/>
        <v>February</v>
      </c>
      <c r="D143" t="s">
        <v>25</v>
      </c>
      <c r="E143" t="s">
        <v>94</v>
      </c>
      <c r="F143" t="s">
        <v>32</v>
      </c>
      <c r="G143">
        <v>1</v>
      </c>
      <c r="H143">
        <v>1756.45</v>
      </c>
      <c r="I143" s="3">
        <v>0.25</v>
      </c>
      <c r="J143" t="s">
        <v>28</v>
      </c>
      <c r="K143" t="s">
        <v>17</v>
      </c>
      <c r="L143" t="s">
        <v>33</v>
      </c>
      <c r="M143">
        <v>1317.34</v>
      </c>
      <c r="N143" t="str">
        <f t="shared" si="5"/>
        <v>Low</v>
      </c>
    </row>
    <row r="144" spans="1:14" x14ac:dyDescent="0.3">
      <c r="A144" t="s">
        <v>202</v>
      </c>
      <c r="B144" s="1">
        <v>45394</v>
      </c>
      <c r="C144" s="1" t="str">
        <f t="shared" si="4"/>
        <v>April</v>
      </c>
      <c r="D144" t="s">
        <v>13</v>
      </c>
      <c r="E144" t="s">
        <v>76</v>
      </c>
      <c r="F144" t="s">
        <v>80</v>
      </c>
      <c r="G144">
        <v>2</v>
      </c>
      <c r="H144">
        <v>3118.89</v>
      </c>
      <c r="I144" s="3">
        <v>0</v>
      </c>
      <c r="J144" t="s">
        <v>16</v>
      </c>
      <c r="K144" t="s">
        <v>40</v>
      </c>
      <c r="L144" t="s">
        <v>33</v>
      </c>
      <c r="M144">
        <v>6237.78</v>
      </c>
      <c r="N144" t="str">
        <f t="shared" si="5"/>
        <v>Low</v>
      </c>
    </row>
    <row r="145" spans="1:14" x14ac:dyDescent="0.3">
      <c r="A145" t="s">
        <v>203</v>
      </c>
      <c r="B145" s="1">
        <v>45455</v>
      </c>
      <c r="C145" s="1" t="str">
        <f t="shared" si="4"/>
        <v>June</v>
      </c>
      <c r="D145" t="s">
        <v>35</v>
      </c>
      <c r="E145" t="s">
        <v>68</v>
      </c>
      <c r="F145" t="s">
        <v>27</v>
      </c>
      <c r="G145">
        <v>5</v>
      </c>
      <c r="H145">
        <v>1980.68</v>
      </c>
      <c r="I145" s="3">
        <v>0</v>
      </c>
      <c r="J145" t="s">
        <v>22</v>
      </c>
      <c r="K145" t="s">
        <v>23</v>
      </c>
      <c r="L145" t="s">
        <v>33</v>
      </c>
      <c r="M145">
        <v>9903.4</v>
      </c>
      <c r="N145" t="str">
        <f t="shared" si="5"/>
        <v>Low</v>
      </c>
    </row>
    <row r="146" spans="1:14" x14ac:dyDescent="0.3">
      <c r="A146" t="s">
        <v>204</v>
      </c>
      <c r="B146" s="1">
        <v>45472</v>
      </c>
      <c r="C146" s="1" t="str">
        <f t="shared" si="4"/>
        <v>June</v>
      </c>
      <c r="D146" t="s">
        <v>20</v>
      </c>
      <c r="E146" t="s">
        <v>21</v>
      </c>
      <c r="F146" t="s">
        <v>27</v>
      </c>
      <c r="G146">
        <v>1</v>
      </c>
      <c r="H146">
        <v>7236.62</v>
      </c>
      <c r="I146" s="3">
        <v>0</v>
      </c>
      <c r="J146" t="s">
        <v>16</v>
      </c>
      <c r="K146" t="s">
        <v>17</v>
      </c>
      <c r="L146" t="s">
        <v>18</v>
      </c>
      <c r="M146">
        <v>7236.62</v>
      </c>
      <c r="N146" t="str">
        <f t="shared" si="5"/>
        <v>Low</v>
      </c>
    </row>
    <row r="147" spans="1:14" x14ac:dyDescent="0.3">
      <c r="A147" t="s">
        <v>205</v>
      </c>
      <c r="B147" s="1">
        <v>45294</v>
      </c>
      <c r="C147" s="1" t="str">
        <f t="shared" si="4"/>
        <v>January</v>
      </c>
      <c r="D147" t="s">
        <v>35</v>
      </c>
      <c r="E147" t="s">
        <v>63</v>
      </c>
      <c r="F147" t="s">
        <v>80</v>
      </c>
      <c r="G147">
        <v>2</v>
      </c>
      <c r="H147">
        <v>5463.58</v>
      </c>
      <c r="I147" s="3">
        <v>0.1</v>
      </c>
      <c r="J147" t="s">
        <v>28</v>
      </c>
      <c r="K147" t="s">
        <v>29</v>
      </c>
      <c r="L147" t="s">
        <v>33</v>
      </c>
      <c r="M147">
        <v>9834.44</v>
      </c>
      <c r="N147" t="str">
        <f t="shared" si="5"/>
        <v>Low</v>
      </c>
    </row>
    <row r="148" spans="1:14" x14ac:dyDescent="0.3">
      <c r="A148" t="s">
        <v>206</v>
      </c>
      <c r="B148" s="1">
        <v>45486</v>
      </c>
      <c r="C148" s="1" t="str">
        <f t="shared" si="4"/>
        <v>July</v>
      </c>
      <c r="D148" t="s">
        <v>35</v>
      </c>
      <c r="E148" t="s">
        <v>97</v>
      </c>
      <c r="F148" t="s">
        <v>44</v>
      </c>
      <c r="G148">
        <v>2</v>
      </c>
      <c r="H148">
        <v>3614.87</v>
      </c>
      <c r="I148" s="3">
        <v>0.05</v>
      </c>
      <c r="J148" t="s">
        <v>22</v>
      </c>
      <c r="K148" t="s">
        <v>23</v>
      </c>
      <c r="L148" t="s">
        <v>33</v>
      </c>
      <c r="M148">
        <v>6868.25</v>
      </c>
      <c r="N148" t="str">
        <f t="shared" si="5"/>
        <v>Low</v>
      </c>
    </row>
    <row r="149" spans="1:14" x14ac:dyDescent="0.3">
      <c r="A149" t="s">
        <v>207</v>
      </c>
      <c r="B149" s="1">
        <v>45363</v>
      </c>
      <c r="C149" s="1" t="str">
        <f t="shared" si="4"/>
        <v>March</v>
      </c>
      <c r="D149" t="s">
        <v>35</v>
      </c>
      <c r="E149" t="s">
        <v>36</v>
      </c>
      <c r="F149" t="s">
        <v>80</v>
      </c>
      <c r="G149">
        <v>4</v>
      </c>
      <c r="H149">
        <v>7669.94</v>
      </c>
      <c r="I149" s="3">
        <v>0.2</v>
      </c>
      <c r="J149" t="s">
        <v>16</v>
      </c>
      <c r="K149" t="s">
        <v>17</v>
      </c>
      <c r="L149" t="s">
        <v>18</v>
      </c>
      <c r="M149">
        <v>24543.81</v>
      </c>
      <c r="N149" t="str">
        <f t="shared" si="5"/>
        <v>High</v>
      </c>
    </row>
    <row r="150" spans="1:14" x14ac:dyDescent="0.3">
      <c r="A150" t="s">
        <v>208</v>
      </c>
      <c r="B150" s="1">
        <v>45405</v>
      </c>
      <c r="C150" s="1" t="str">
        <f t="shared" si="4"/>
        <v>April</v>
      </c>
      <c r="D150" t="s">
        <v>13</v>
      </c>
      <c r="E150" t="s">
        <v>14</v>
      </c>
      <c r="F150" t="s">
        <v>80</v>
      </c>
      <c r="G150">
        <v>6</v>
      </c>
      <c r="H150">
        <v>595.29999999999995</v>
      </c>
      <c r="I150" s="3">
        <v>0.25</v>
      </c>
      <c r="J150" t="s">
        <v>28</v>
      </c>
      <c r="K150" t="s">
        <v>23</v>
      </c>
      <c r="L150" t="s">
        <v>33</v>
      </c>
      <c r="M150">
        <v>2678.85</v>
      </c>
      <c r="N150" t="str">
        <f t="shared" si="5"/>
        <v>Low</v>
      </c>
    </row>
    <row r="151" spans="1:14" x14ac:dyDescent="0.3">
      <c r="A151" t="s">
        <v>209</v>
      </c>
      <c r="B151" s="1">
        <v>45463</v>
      </c>
      <c r="C151" s="1" t="str">
        <f t="shared" si="4"/>
        <v>June</v>
      </c>
      <c r="D151" t="s">
        <v>35</v>
      </c>
      <c r="E151" t="s">
        <v>97</v>
      </c>
      <c r="F151" t="s">
        <v>27</v>
      </c>
      <c r="G151">
        <v>2</v>
      </c>
      <c r="H151">
        <v>2196.2800000000002</v>
      </c>
      <c r="I151" s="3">
        <v>0</v>
      </c>
      <c r="J151" t="s">
        <v>16</v>
      </c>
      <c r="K151" t="s">
        <v>23</v>
      </c>
      <c r="L151" t="s">
        <v>33</v>
      </c>
      <c r="M151">
        <v>4392.5600000000004</v>
      </c>
      <c r="N151" t="str">
        <f t="shared" si="5"/>
        <v>Low</v>
      </c>
    </row>
    <row r="152" spans="1:14" x14ac:dyDescent="0.3">
      <c r="A152" t="s">
        <v>210</v>
      </c>
      <c r="B152" s="1">
        <v>45395</v>
      </c>
      <c r="C152" s="1" t="str">
        <f t="shared" si="4"/>
        <v>April</v>
      </c>
      <c r="D152" t="s">
        <v>13</v>
      </c>
      <c r="E152" t="s">
        <v>76</v>
      </c>
      <c r="F152" t="s">
        <v>27</v>
      </c>
      <c r="G152">
        <v>3</v>
      </c>
      <c r="H152">
        <v>3541.67</v>
      </c>
      <c r="I152" s="3">
        <v>0.1</v>
      </c>
      <c r="J152" t="s">
        <v>16</v>
      </c>
      <c r="K152" t="s">
        <v>40</v>
      </c>
      <c r="L152" t="s">
        <v>33</v>
      </c>
      <c r="M152">
        <v>9562.51</v>
      </c>
      <c r="N152" t="str">
        <f t="shared" si="5"/>
        <v>Low</v>
      </c>
    </row>
    <row r="153" spans="1:14" x14ac:dyDescent="0.3">
      <c r="A153" t="s">
        <v>211</v>
      </c>
      <c r="B153" s="1">
        <v>45551</v>
      </c>
      <c r="C153" s="1" t="str">
        <f t="shared" si="4"/>
        <v>September</v>
      </c>
      <c r="D153" t="s">
        <v>20</v>
      </c>
      <c r="E153" t="s">
        <v>21</v>
      </c>
      <c r="F153" t="s">
        <v>44</v>
      </c>
      <c r="G153">
        <v>3</v>
      </c>
      <c r="H153">
        <v>4159.66</v>
      </c>
      <c r="I153" s="3">
        <v>0.25</v>
      </c>
      <c r="J153" t="s">
        <v>16</v>
      </c>
      <c r="K153" t="s">
        <v>40</v>
      </c>
      <c r="L153" t="s">
        <v>33</v>
      </c>
      <c r="M153">
        <v>9359.24</v>
      </c>
      <c r="N153" t="str">
        <f t="shared" si="5"/>
        <v>Low</v>
      </c>
    </row>
    <row r="154" spans="1:14" x14ac:dyDescent="0.3">
      <c r="A154" t="s">
        <v>212</v>
      </c>
      <c r="B154" s="1">
        <v>45362</v>
      </c>
      <c r="C154" s="1" t="str">
        <f t="shared" si="4"/>
        <v>March</v>
      </c>
      <c r="D154" t="s">
        <v>20</v>
      </c>
      <c r="E154" t="s">
        <v>59</v>
      </c>
      <c r="F154" t="s">
        <v>47</v>
      </c>
      <c r="G154">
        <v>2</v>
      </c>
      <c r="H154">
        <v>4244.97</v>
      </c>
      <c r="I154" s="3">
        <v>0.1</v>
      </c>
      <c r="J154" t="s">
        <v>22</v>
      </c>
      <c r="K154" t="s">
        <v>17</v>
      </c>
      <c r="L154" t="s">
        <v>33</v>
      </c>
      <c r="M154">
        <v>7640.95</v>
      </c>
      <c r="N154" t="str">
        <f t="shared" si="5"/>
        <v>Low</v>
      </c>
    </row>
    <row r="155" spans="1:14" x14ac:dyDescent="0.3">
      <c r="A155" t="s">
        <v>213</v>
      </c>
      <c r="B155" s="1">
        <v>45605</v>
      </c>
      <c r="C155" s="1" t="str">
        <f t="shared" si="4"/>
        <v>November</v>
      </c>
      <c r="D155" t="s">
        <v>20</v>
      </c>
      <c r="E155" t="s">
        <v>61</v>
      </c>
      <c r="F155" t="s">
        <v>47</v>
      </c>
      <c r="G155">
        <v>6</v>
      </c>
      <c r="H155">
        <v>5705.9</v>
      </c>
      <c r="I155" s="3">
        <v>0.1</v>
      </c>
      <c r="J155" t="s">
        <v>28</v>
      </c>
      <c r="K155" t="s">
        <v>40</v>
      </c>
      <c r="L155" t="s">
        <v>33</v>
      </c>
      <c r="M155">
        <v>30811.86</v>
      </c>
      <c r="N155" t="str">
        <f t="shared" si="5"/>
        <v>High</v>
      </c>
    </row>
    <row r="156" spans="1:14" x14ac:dyDescent="0.3">
      <c r="A156" t="s">
        <v>214</v>
      </c>
      <c r="B156" s="1">
        <v>45338</v>
      </c>
      <c r="C156" s="1" t="str">
        <f t="shared" si="4"/>
        <v>February</v>
      </c>
      <c r="D156" t="s">
        <v>13</v>
      </c>
      <c r="E156" t="s">
        <v>108</v>
      </c>
      <c r="F156" t="s">
        <v>44</v>
      </c>
      <c r="G156">
        <v>1</v>
      </c>
      <c r="H156">
        <v>3364.71</v>
      </c>
      <c r="I156" s="3">
        <v>0.25</v>
      </c>
      <c r="J156" t="s">
        <v>16</v>
      </c>
      <c r="K156" t="s">
        <v>29</v>
      </c>
      <c r="L156" t="s">
        <v>18</v>
      </c>
      <c r="M156">
        <v>2523.5300000000002</v>
      </c>
      <c r="N156" t="str">
        <f t="shared" si="5"/>
        <v>Low</v>
      </c>
    </row>
    <row r="157" spans="1:14" x14ac:dyDescent="0.3">
      <c r="A157" t="s">
        <v>215</v>
      </c>
      <c r="B157" s="1">
        <v>45474</v>
      </c>
      <c r="C157" s="1" t="str">
        <f t="shared" si="4"/>
        <v>July</v>
      </c>
      <c r="D157" t="s">
        <v>20</v>
      </c>
      <c r="E157" t="s">
        <v>59</v>
      </c>
      <c r="F157" t="s">
        <v>32</v>
      </c>
      <c r="G157">
        <v>5</v>
      </c>
      <c r="H157">
        <v>7467.13</v>
      </c>
      <c r="I157" s="3">
        <v>0</v>
      </c>
      <c r="J157" t="s">
        <v>16</v>
      </c>
      <c r="K157" t="s">
        <v>17</v>
      </c>
      <c r="L157" t="s">
        <v>18</v>
      </c>
      <c r="M157">
        <v>37335.65</v>
      </c>
      <c r="N157" t="str">
        <f t="shared" si="5"/>
        <v>High</v>
      </c>
    </row>
    <row r="158" spans="1:14" x14ac:dyDescent="0.3">
      <c r="A158" t="s">
        <v>216</v>
      </c>
      <c r="B158" s="1">
        <v>45520</v>
      </c>
      <c r="C158" s="1" t="str">
        <f t="shared" si="4"/>
        <v>August</v>
      </c>
      <c r="D158" t="s">
        <v>13</v>
      </c>
      <c r="E158" t="s">
        <v>76</v>
      </c>
      <c r="F158" t="s">
        <v>44</v>
      </c>
      <c r="G158">
        <v>5</v>
      </c>
      <c r="H158">
        <v>351.29</v>
      </c>
      <c r="I158" s="3">
        <v>0.05</v>
      </c>
      <c r="J158" t="s">
        <v>16</v>
      </c>
      <c r="K158" t="s">
        <v>29</v>
      </c>
      <c r="L158" t="s">
        <v>33</v>
      </c>
      <c r="M158">
        <v>1668.63</v>
      </c>
      <c r="N158" t="str">
        <f t="shared" si="5"/>
        <v>Low</v>
      </c>
    </row>
    <row r="159" spans="1:14" x14ac:dyDescent="0.3">
      <c r="A159" t="s">
        <v>217</v>
      </c>
      <c r="B159" s="1">
        <v>45341</v>
      </c>
      <c r="C159" s="1" t="str">
        <f t="shared" si="4"/>
        <v>February</v>
      </c>
      <c r="D159" t="s">
        <v>25</v>
      </c>
      <c r="E159" t="s">
        <v>31</v>
      </c>
      <c r="F159" t="s">
        <v>32</v>
      </c>
      <c r="G159">
        <v>6</v>
      </c>
      <c r="H159">
        <v>5949.18</v>
      </c>
      <c r="I159" s="3">
        <v>0.1</v>
      </c>
      <c r="J159" t="s">
        <v>16</v>
      </c>
      <c r="K159" t="s">
        <v>17</v>
      </c>
      <c r="L159" t="s">
        <v>18</v>
      </c>
      <c r="M159">
        <v>32125.57</v>
      </c>
      <c r="N159" t="str">
        <f t="shared" si="5"/>
        <v>High</v>
      </c>
    </row>
    <row r="160" spans="1:14" x14ac:dyDescent="0.3">
      <c r="A160" t="s">
        <v>218</v>
      </c>
      <c r="B160" s="1">
        <v>45315</v>
      </c>
      <c r="C160" s="1" t="str">
        <f t="shared" si="4"/>
        <v>January</v>
      </c>
      <c r="D160" t="s">
        <v>13</v>
      </c>
      <c r="E160" t="s">
        <v>76</v>
      </c>
      <c r="F160" t="s">
        <v>47</v>
      </c>
      <c r="G160">
        <v>3</v>
      </c>
      <c r="H160">
        <v>1115.94</v>
      </c>
      <c r="I160" s="3">
        <v>0.25</v>
      </c>
      <c r="J160" t="s">
        <v>28</v>
      </c>
      <c r="K160" t="s">
        <v>23</v>
      </c>
      <c r="L160" t="s">
        <v>33</v>
      </c>
      <c r="M160">
        <v>2510.87</v>
      </c>
      <c r="N160" t="str">
        <f t="shared" si="5"/>
        <v>Low</v>
      </c>
    </row>
    <row r="161" spans="1:14" x14ac:dyDescent="0.3">
      <c r="A161" t="s">
        <v>219</v>
      </c>
      <c r="B161" s="1">
        <v>45495</v>
      </c>
      <c r="C161" s="1" t="str">
        <f t="shared" si="4"/>
        <v>July</v>
      </c>
      <c r="D161" t="s">
        <v>20</v>
      </c>
      <c r="E161" t="s">
        <v>61</v>
      </c>
      <c r="F161" t="s">
        <v>44</v>
      </c>
      <c r="G161">
        <v>2</v>
      </c>
      <c r="H161">
        <v>7593.33</v>
      </c>
      <c r="I161" s="3">
        <v>0</v>
      </c>
      <c r="J161" t="s">
        <v>22</v>
      </c>
      <c r="K161" t="s">
        <v>17</v>
      </c>
      <c r="L161" t="s">
        <v>18</v>
      </c>
      <c r="M161">
        <v>15186.66</v>
      </c>
      <c r="N161" t="str">
        <f t="shared" si="5"/>
        <v>Medium</v>
      </c>
    </row>
    <row r="162" spans="1:14" x14ac:dyDescent="0.3">
      <c r="A162" t="s">
        <v>220</v>
      </c>
      <c r="B162" s="1">
        <v>45415</v>
      </c>
      <c r="C162" s="1" t="str">
        <f t="shared" si="4"/>
        <v>May</v>
      </c>
      <c r="D162" t="s">
        <v>13</v>
      </c>
      <c r="E162" t="s">
        <v>108</v>
      </c>
      <c r="F162" t="s">
        <v>15</v>
      </c>
      <c r="G162">
        <v>3</v>
      </c>
      <c r="H162">
        <v>5766.9</v>
      </c>
      <c r="I162" s="3">
        <v>0.15</v>
      </c>
      <c r="J162" t="s">
        <v>55</v>
      </c>
      <c r="K162" t="s">
        <v>29</v>
      </c>
      <c r="L162" t="s">
        <v>33</v>
      </c>
      <c r="M162">
        <v>14705.59</v>
      </c>
      <c r="N162" t="str">
        <f t="shared" si="5"/>
        <v>Medium</v>
      </c>
    </row>
    <row r="163" spans="1:14" x14ac:dyDescent="0.3">
      <c r="A163" t="s">
        <v>221</v>
      </c>
      <c r="B163" s="1">
        <v>45347</v>
      </c>
      <c r="C163" s="1" t="str">
        <f t="shared" si="4"/>
        <v>February</v>
      </c>
      <c r="D163" t="s">
        <v>38</v>
      </c>
      <c r="E163" t="s">
        <v>42</v>
      </c>
      <c r="F163" t="s">
        <v>80</v>
      </c>
      <c r="G163">
        <v>5</v>
      </c>
      <c r="H163">
        <v>1621.84</v>
      </c>
      <c r="I163" s="3">
        <v>0.15</v>
      </c>
      <c r="J163" t="s">
        <v>55</v>
      </c>
      <c r="K163" t="s">
        <v>17</v>
      </c>
      <c r="L163" t="s">
        <v>33</v>
      </c>
      <c r="M163">
        <v>6892.82</v>
      </c>
      <c r="N163" t="str">
        <f t="shared" si="5"/>
        <v>Low</v>
      </c>
    </row>
    <row r="164" spans="1:14" x14ac:dyDescent="0.3">
      <c r="A164" t="s">
        <v>222</v>
      </c>
      <c r="B164" s="1">
        <v>45620</v>
      </c>
      <c r="C164" s="1" t="str">
        <f t="shared" si="4"/>
        <v>November</v>
      </c>
      <c r="D164" t="s">
        <v>35</v>
      </c>
      <c r="E164" t="s">
        <v>68</v>
      </c>
      <c r="F164" t="s">
        <v>32</v>
      </c>
      <c r="G164">
        <v>5</v>
      </c>
      <c r="H164">
        <v>2236.31</v>
      </c>
      <c r="I164" s="3">
        <v>0.1</v>
      </c>
      <c r="J164" t="s">
        <v>22</v>
      </c>
      <c r="K164" t="s">
        <v>49</v>
      </c>
      <c r="L164" t="s">
        <v>18</v>
      </c>
      <c r="M164">
        <v>10063.4</v>
      </c>
      <c r="N164" t="str">
        <f t="shared" si="5"/>
        <v>Medium</v>
      </c>
    </row>
    <row r="165" spans="1:14" x14ac:dyDescent="0.3">
      <c r="A165" t="s">
        <v>223</v>
      </c>
      <c r="B165" s="1">
        <v>45439</v>
      </c>
      <c r="C165" s="1" t="str">
        <f t="shared" si="4"/>
        <v>May</v>
      </c>
      <c r="D165" t="s">
        <v>38</v>
      </c>
      <c r="E165" t="s">
        <v>164</v>
      </c>
      <c r="F165" t="s">
        <v>32</v>
      </c>
      <c r="G165">
        <v>1</v>
      </c>
      <c r="H165">
        <v>2547.48</v>
      </c>
      <c r="I165" s="3">
        <v>0.05</v>
      </c>
      <c r="J165" t="s">
        <v>16</v>
      </c>
      <c r="K165" t="s">
        <v>40</v>
      </c>
      <c r="L165" t="s">
        <v>33</v>
      </c>
      <c r="M165">
        <v>2420.11</v>
      </c>
      <c r="N165" t="str">
        <f t="shared" si="5"/>
        <v>Low</v>
      </c>
    </row>
    <row r="166" spans="1:14" x14ac:dyDescent="0.3">
      <c r="A166" t="s">
        <v>224</v>
      </c>
      <c r="B166" s="1">
        <v>45517</v>
      </c>
      <c r="C166" s="1" t="str">
        <f t="shared" si="4"/>
        <v>August</v>
      </c>
      <c r="D166" t="s">
        <v>25</v>
      </c>
      <c r="E166" t="s">
        <v>94</v>
      </c>
      <c r="F166" t="s">
        <v>47</v>
      </c>
      <c r="G166">
        <v>1</v>
      </c>
      <c r="H166">
        <v>4166.3100000000004</v>
      </c>
      <c r="I166" s="3">
        <v>0.1</v>
      </c>
      <c r="J166" t="s">
        <v>55</v>
      </c>
      <c r="K166" t="s">
        <v>29</v>
      </c>
      <c r="L166" t="s">
        <v>33</v>
      </c>
      <c r="M166">
        <v>3749.68</v>
      </c>
      <c r="N166" t="str">
        <f t="shared" si="5"/>
        <v>Low</v>
      </c>
    </row>
    <row r="167" spans="1:14" x14ac:dyDescent="0.3">
      <c r="A167" t="s">
        <v>225</v>
      </c>
      <c r="B167" s="1">
        <v>45624</v>
      </c>
      <c r="C167" s="1" t="str">
        <f t="shared" si="4"/>
        <v>November</v>
      </c>
      <c r="D167" t="s">
        <v>25</v>
      </c>
      <c r="E167" t="s">
        <v>94</v>
      </c>
      <c r="F167" t="s">
        <v>1160</v>
      </c>
      <c r="G167">
        <v>4</v>
      </c>
      <c r="H167">
        <v>1729.36</v>
      </c>
      <c r="I167" s="3">
        <v>0.15</v>
      </c>
      <c r="J167" t="s">
        <v>55</v>
      </c>
      <c r="K167" t="s">
        <v>40</v>
      </c>
      <c r="L167" t="s">
        <v>33</v>
      </c>
      <c r="M167">
        <v>5879.82</v>
      </c>
      <c r="N167" t="str">
        <f t="shared" si="5"/>
        <v>Low</v>
      </c>
    </row>
    <row r="168" spans="1:14" x14ac:dyDescent="0.3">
      <c r="A168" t="s">
        <v>226</v>
      </c>
      <c r="B168" s="1">
        <v>45554</v>
      </c>
      <c r="C168" s="1" t="str">
        <f t="shared" si="4"/>
        <v>September</v>
      </c>
      <c r="D168" t="s">
        <v>13</v>
      </c>
      <c r="E168" t="s">
        <v>14</v>
      </c>
      <c r="F168" t="s">
        <v>1160</v>
      </c>
      <c r="G168">
        <v>5</v>
      </c>
      <c r="H168">
        <v>3157.9</v>
      </c>
      <c r="I168" s="3">
        <v>0.2</v>
      </c>
      <c r="J168" t="s">
        <v>16</v>
      </c>
      <c r="K168" t="s">
        <v>29</v>
      </c>
      <c r="L168" t="s">
        <v>33</v>
      </c>
      <c r="M168">
        <v>12631.6</v>
      </c>
      <c r="N168" t="str">
        <f t="shared" si="5"/>
        <v>Medium</v>
      </c>
    </row>
    <row r="169" spans="1:14" x14ac:dyDescent="0.3">
      <c r="A169" t="s">
        <v>227</v>
      </c>
      <c r="B169" s="1">
        <v>45443</v>
      </c>
      <c r="C169" s="1" t="str">
        <f t="shared" si="4"/>
        <v>May</v>
      </c>
      <c r="D169" t="s">
        <v>13</v>
      </c>
      <c r="E169" t="s">
        <v>108</v>
      </c>
      <c r="F169" t="s">
        <v>1160</v>
      </c>
      <c r="G169">
        <v>1</v>
      </c>
      <c r="H169">
        <v>6211.21</v>
      </c>
      <c r="I169" s="3">
        <v>0.05</v>
      </c>
      <c r="J169" t="s">
        <v>28</v>
      </c>
      <c r="K169" t="s">
        <v>17</v>
      </c>
      <c r="L169" t="s">
        <v>33</v>
      </c>
      <c r="M169">
        <v>5900.65</v>
      </c>
      <c r="N169" t="str">
        <f t="shared" si="5"/>
        <v>Low</v>
      </c>
    </row>
    <row r="170" spans="1:14" x14ac:dyDescent="0.3">
      <c r="A170" t="s">
        <v>228</v>
      </c>
      <c r="B170" s="1">
        <v>45638</v>
      </c>
      <c r="C170" s="1" t="str">
        <f t="shared" si="4"/>
        <v>December</v>
      </c>
      <c r="D170" t="s">
        <v>13</v>
      </c>
      <c r="E170" t="s">
        <v>76</v>
      </c>
      <c r="F170" t="s">
        <v>1160</v>
      </c>
      <c r="G170">
        <v>6</v>
      </c>
      <c r="H170">
        <v>7481.51</v>
      </c>
      <c r="I170" s="3">
        <v>0.2</v>
      </c>
      <c r="J170" t="s">
        <v>16</v>
      </c>
      <c r="K170" t="s">
        <v>29</v>
      </c>
      <c r="L170" t="s">
        <v>18</v>
      </c>
      <c r="M170">
        <v>35911.25</v>
      </c>
      <c r="N170" t="str">
        <f t="shared" si="5"/>
        <v>High</v>
      </c>
    </row>
    <row r="171" spans="1:14" x14ac:dyDescent="0.3">
      <c r="A171" t="s">
        <v>229</v>
      </c>
      <c r="B171" s="1">
        <v>45503</v>
      </c>
      <c r="C171" s="1" t="str">
        <f t="shared" si="4"/>
        <v>July</v>
      </c>
      <c r="D171" t="s">
        <v>38</v>
      </c>
      <c r="E171" t="s">
        <v>100</v>
      </c>
      <c r="F171" t="s">
        <v>47</v>
      </c>
      <c r="G171">
        <v>1</v>
      </c>
      <c r="H171">
        <v>183.94</v>
      </c>
      <c r="I171" s="3">
        <v>0</v>
      </c>
      <c r="J171" t="s">
        <v>55</v>
      </c>
      <c r="K171" t="s">
        <v>29</v>
      </c>
      <c r="L171" t="s">
        <v>18</v>
      </c>
      <c r="M171">
        <v>183.94</v>
      </c>
      <c r="N171" t="str">
        <f t="shared" si="5"/>
        <v>Low</v>
      </c>
    </row>
    <row r="172" spans="1:14" x14ac:dyDescent="0.3">
      <c r="A172" t="s">
        <v>230</v>
      </c>
      <c r="B172" s="1">
        <v>45439</v>
      </c>
      <c r="C172" s="1" t="str">
        <f t="shared" si="4"/>
        <v>May</v>
      </c>
      <c r="D172" t="s">
        <v>38</v>
      </c>
      <c r="E172" t="s">
        <v>39</v>
      </c>
      <c r="F172" t="s">
        <v>44</v>
      </c>
      <c r="G172">
        <v>6</v>
      </c>
      <c r="H172">
        <v>2918.06</v>
      </c>
      <c r="I172" s="3">
        <v>0.15</v>
      </c>
      <c r="J172" t="s">
        <v>55</v>
      </c>
      <c r="K172" t="s">
        <v>17</v>
      </c>
      <c r="L172" t="s">
        <v>33</v>
      </c>
      <c r="M172">
        <f>Orders[[#This Row],[Quantity]]*Orders[[#This Row],[UnitPrice]]-Orders[[#This Row],[Discount%]]</f>
        <v>17508.21</v>
      </c>
      <c r="N172" t="str">
        <f t="shared" si="5"/>
        <v>Medium</v>
      </c>
    </row>
    <row r="173" spans="1:14" x14ac:dyDescent="0.3">
      <c r="A173" t="s">
        <v>231</v>
      </c>
      <c r="B173" s="1">
        <v>45566</v>
      </c>
      <c r="C173" s="1" t="str">
        <f t="shared" si="4"/>
        <v>October</v>
      </c>
      <c r="D173" t="s">
        <v>38</v>
      </c>
      <c r="E173" t="s">
        <v>100</v>
      </c>
      <c r="F173" t="s">
        <v>47</v>
      </c>
      <c r="G173">
        <v>3</v>
      </c>
      <c r="H173">
        <v>6453.18</v>
      </c>
      <c r="I173" s="3">
        <v>0.2</v>
      </c>
      <c r="J173" t="s">
        <v>28</v>
      </c>
      <c r="K173" t="s">
        <v>49</v>
      </c>
      <c r="L173" t="s">
        <v>33</v>
      </c>
      <c r="M173">
        <v>15487.63</v>
      </c>
      <c r="N173" t="str">
        <f t="shared" si="5"/>
        <v>Medium</v>
      </c>
    </row>
    <row r="174" spans="1:14" x14ac:dyDescent="0.3">
      <c r="A174" t="s">
        <v>232</v>
      </c>
      <c r="B174" s="1">
        <v>45297</v>
      </c>
      <c r="C174" s="1" t="str">
        <f t="shared" si="4"/>
        <v>January</v>
      </c>
      <c r="D174" t="s">
        <v>13</v>
      </c>
      <c r="E174" t="s">
        <v>14</v>
      </c>
      <c r="F174" t="s">
        <v>15</v>
      </c>
      <c r="G174">
        <v>1</v>
      </c>
      <c r="H174">
        <v>522.41999999999996</v>
      </c>
      <c r="I174" s="3">
        <v>0.25</v>
      </c>
      <c r="J174" t="s">
        <v>16</v>
      </c>
      <c r="K174" t="s">
        <v>49</v>
      </c>
      <c r="L174" t="s">
        <v>33</v>
      </c>
      <c r="M174">
        <v>391.81</v>
      </c>
      <c r="N174" t="str">
        <f t="shared" si="5"/>
        <v>Low</v>
      </c>
    </row>
    <row r="175" spans="1:14" x14ac:dyDescent="0.3">
      <c r="A175" t="s">
        <v>233</v>
      </c>
      <c r="B175" s="1">
        <v>45312</v>
      </c>
      <c r="C175" s="1" t="str">
        <f t="shared" si="4"/>
        <v>January</v>
      </c>
      <c r="D175" t="s">
        <v>38</v>
      </c>
      <c r="E175" t="s">
        <v>39</v>
      </c>
      <c r="F175" t="s">
        <v>80</v>
      </c>
      <c r="G175">
        <v>5</v>
      </c>
      <c r="H175">
        <v>5458.38</v>
      </c>
      <c r="I175" s="3">
        <v>0.25</v>
      </c>
      <c r="J175" t="s">
        <v>16</v>
      </c>
      <c r="K175" t="s">
        <v>17</v>
      </c>
      <c r="L175" t="s">
        <v>33</v>
      </c>
      <c r="M175">
        <v>20468.93</v>
      </c>
      <c r="N175" t="str">
        <f t="shared" si="5"/>
        <v>High</v>
      </c>
    </row>
    <row r="176" spans="1:14" x14ac:dyDescent="0.3">
      <c r="A176" t="s">
        <v>234</v>
      </c>
      <c r="B176" s="1">
        <v>45497</v>
      </c>
      <c r="C176" s="1" t="str">
        <f t="shared" si="4"/>
        <v>July</v>
      </c>
      <c r="D176" t="s">
        <v>20</v>
      </c>
      <c r="E176" t="s">
        <v>78</v>
      </c>
      <c r="F176" t="s">
        <v>44</v>
      </c>
      <c r="G176">
        <v>4</v>
      </c>
      <c r="H176">
        <v>6173.53</v>
      </c>
      <c r="I176" s="3">
        <v>0.15</v>
      </c>
      <c r="J176" t="s">
        <v>22</v>
      </c>
      <c r="K176" t="s">
        <v>40</v>
      </c>
      <c r="L176" t="s">
        <v>33</v>
      </c>
      <c r="M176">
        <v>20990</v>
      </c>
      <c r="N176" t="str">
        <f t="shared" si="5"/>
        <v>High</v>
      </c>
    </row>
    <row r="177" spans="1:14" x14ac:dyDescent="0.3">
      <c r="A177" t="s">
        <v>235</v>
      </c>
      <c r="B177" s="1">
        <v>45627</v>
      </c>
      <c r="C177" s="1" t="str">
        <f t="shared" si="4"/>
        <v>December</v>
      </c>
      <c r="D177" t="s">
        <v>25</v>
      </c>
      <c r="E177" t="s">
        <v>26</v>
      </c>
      <c r="F177" t="s">
        <v>53</v>
      </c>
      <c r="G177">
        <v>3</v>
      </c>
      <c r="H177">
        <v>5565.61</v>
      </c>
      <c r="I177" s="3">
        <v>0.2</v>
      </c>
      <c r="J177" t="s">
        <v>22</v>
      </c>
      <c r="K177" t="s">
        <v>23</v>
      </c>
      <c r="L177" t="s">
        <v>33</v>
      </c>
      <c r="M177">
        <v>13357.46</v>
      </c>
      <c r="N177" t="str">
        <f t="shared" si="5"/>
        <v>Medium</v>
      </c>
    </row>
    <row r="178" spans="1:14" x14ac:dyDescent="0.3">
      <c r="A178" t="s">
        <v>236</v>
      </c>
      <c r="B178" s="1">
        <v>45472</v>
      </c>
      <c r="C178" s="1" t="str">
        <f t="shared" si="4"/>
        <v>June</v>
      </c>
      <c r="D178" t="s">
        <v>20</v>
      </c>
      <c r="E178" t="s">
        <v>21</v>
      </c>
      <c r="F178" t="s">
        <v>53</v>
      </c>
      <c r="G178">
        <v>5</v>
      </c>
      <c r="H178">
        <v>7950.93</v>
      </c>
      <c r="I178" s="3">
        <v>0</v>
      </c>
      <c r="J178" t="s">
        <v>22</v>
      </c>
      <c r="K178" t="s">
        <v>40</v>
      </c>
      <c r="L178" t="s">
        <v>33</v>
      </c>
      <c r="M178">
        <v>39754.65</v>
      </c>
      <c r="N178" t="str">
        <f t="shared" si="5"/>
        <v>High</v>
      </c>
    </row>
    <row r="179" spans="1:14" x14ac:dyDescent="0.3">
      <c r="A179" t="s">
        <v>237</v>
      </c>
      <c r="B179" s="1">
        <v>45634</v>
      </c>
      <c r="C179" s="1" t="str">
        <f t="shared" si="4"/>
        <v>December</v>
      </c>
      <c r="D179" t="s">
        <v>38</v>
      </c>
      <c r="E179" t="s">
        <v>42</v>
      </c>
      <c r="F179" t="s">
        <v>32</v>
      </c>
      <c r="G179">
        <v>1</v>
      </c>
      <c r="H179">
        <v>1693.71</v>
      </c>
      <c r="I179" s="3">
        <v>0.25</v>
      </c>
      <c r="J179" t="s">
        <v>28</v>
      </c>
      <c r="K179" t="s">
        <v>23</v>
      </c>
      <c r="L179" t="s">
        <v>33</v>
      </c>
      <c r="M179">
        <v>1270.28</v>
      </c>
      <c r="N179" t="str">
        <f t="shared" si="5"/>
        <v>Low</v>
      </c>
    </row>
    <row r="180" spans="1:14" x14ac:dyDescent="0.3">
      <c r="A180" t="s">
        <v>238</v>
      </c>
      <c r="B180" s="1">
        <v>45366</v>
      </c>
      <c r="C180" s="1" t="str">
        <f t="shared" si="4"/>
        <v>March</v>
      </c>
      <c r="D180" t="s">
        <v>38</v>
      </c>
      <c r="E180" t="s">
        <v>51</v>
      </c>
      <c r="F180" t="s">
        <v>53</v>
      </c>
      <c r="G180">
        <v>2</v>
      </c>
      <c r="H180">
        <v>4219.63</v>
      </c>
      <c r="I180" s="3">
        <v>0</v>
      </c>
      <c r="J180" t="s">
        <v>16</v>
      </c>
      <c r="K180" t="s">
        <v>49</v>
      </c>
      <c r="L180" t="s">
        <v>33</v>
      </c>
      <c r="M180">
        <v>8439.26</v>
      </c>
      <c r="N180" t="str">
        <f t="shared" si="5"/>
        <v>Low</v>
      </c>
    </row>
    <row r="181" spans="1:14" x14ac:dyDescent="0.3">
      <c r="A181" t="s">
        <v>239</v>
      </c>
      <c r="B181" s="1">
        <v>45365</v>
      </c>
      <c r="C181" s="1" t="str">
        <f t="shared" si="4"/>
        <v>March</v>
      </c>
      <c r="D181" t="s">
        <v>35</v>
      </c>
      <c r="E181" t="s">
        <v>68</v>
      </c>
      <c r="F181" t="s">
        <v>80</v>
      </c>
      <c r="G181">
        <v>6</v>
      </c>
      <c r="H181">
        <v>2020.36</v>
      </c>
      <c r="I181" s="3">
        <v>0.1</v>
      </c>
      <c r="J181" t="s">
        <v>16</v>
      </c>
      <c r="K181" t="s">
        <v>40</v>
      </c>
      <c r="L181" t="s">
        <v>33</v>
      </c>
      <c r="M181">
        <v>10909.94</v>
      </c>
      <c r="N181" t="str">
        <f t="shared" si="5"/>
        <v>Medium</v>
      </c>
    </row>
    <row r="182" spans="1:14" x14ac:dyDescent="0.3">
      <c r="A182" t="s">
        <v>240</v>
      </c>
      <c r="B182" s="1">
        <v>45302</v>
      </c>
      <c r="C182" s="1" t="str">
        <f t="shared" si="4"/>
        <v>January</v>
      </c>
      <c r="D182" t="s">
        <v>20</v>
      </c>
      <c r="E182" t="s">
        <v>78</v>
      </c>
      <c r="F182" t="s">
        <v>15</v>
      </c>
      <c r="G182">
        <v>1</v>
      </c>
      <c r="H182">
        <v>1877.38</v>
      </c>
      <c r="I182" s="3">
        <v>0.2</v>
      </c>
      <c r="J182" t="s">
        <v>28</v>
      </c>
      <c r="K182" t="s">
        <v>23</v>
      </c>
      <c r="L182" t="s">
        <v>18</v>
      </c>
      <c r="M182">
        <v>1501.9</v>
      </c>
      <c r="N182" t="str">
        <f t="shared" si="5"/>
        <v>Low</v>
      </c>
    </row>
    <row r="183" spans="1:14" x14ac:dyDescent="0.3">
      <c r="A183" t="s">
        <v>241</v>
      </c>
      <c r="B183" s="1">
        <v>45453</v>
      </c>
      <c r="C183" s="1" t="str">
        <f t="shared" si="4"/>
        <v>June</v>
      </c>
      <c r="D183" t="s">
        <v>20</v>
      </c>
      <c r="E183" t="s">
        <v>57</v>
      </c>
      <c r="F183" t="s">
        <v>47</v>
      </c>
      <c r="G183">
        <v>1</v>
      </c>
      <c r="H183">
        <v>7206.11</v>
      </c>
      <c r="I183" s="3">
        <v>0.25</v>
      </c>
      <c r="J183" t="s">
        <v>16</v>
      </c>
      <c r="K183" t="s">
        <v>40</v>
      </c>
      <c r="L183" t="s">
        <v>33</v>
      </c>
      <c r="M183">
        <v>5404.58</v>
      </c>
      <c r="N183" t="str">
        <f t="shared" si="5"/>
        <v>Low</v>
      </c>
    </row>
    <row r="184" spans="1:14" x14ac:dyDescent="0.3">
      <c r="A184" t="s">
        <v>242</v>
      </c>
      <c r="B184" s="1">
        <v>45503</v>
      </c>
      <c r="C184" s="1" t="str">
        <f t="shared" si="4"/>
        <v>July</v>
      </c>
      <c r="D184" t="s">
        <v>38</v>
      </c>
      <c r="E184" t="s">
        <v>51</v>
      </c>
      <c r="F184" t="s">
        <v>1160</v>
      </c>
      <c r="G184">
        <v>3</v>
      </c>
      <c r="H184">
        <v>3278.99</v>
      </c>
      <c r="I184" s="3">
        <v>0.25</v>
      </c>
      <c r="J184" t="s">
        <v>16</v>
      </c>
      <c r="K184" t="s">
        <v>23</v>
      </c>
      <c r="L184" t="s">
        <v>18</v>
      </c>
      <c r="M184">
        <v>7377.73</v>
      </c>
      <c r="N184" t="str">
        <f t="shared" si="5"/>
        <v>Low</v>
      </c>
    </row>
    <row r="185" spans="1:14" x14ac:dyDescent="0.3">
      <c r="A185" t="s">
        <v>243</v>
      </c>
      <c r="B185" s="1">
        <v>45350</v>
      </c>
      <c r="C185" s="1" t="str">
        <f t="shared" si="4"/>
        <v>February</v>
      </c>
      <c r="D185" t="s">
        <v>13</v>
      </c>
      <c r="E185" t="s">
        <v>74</v>
      </c>
      <c r="F185" t="s">
        <v>80</v>
      </c>
      <c r="G185">
        <v>3</v>
      </c>
      <c r="H185">
        <v>4339.9399999999996</v>
      </c>
      <c r="I185" s="3">
        <v>0.2</v>
      </c>
      <c r="J185" t="s">
        <v>16</v>
      </c>
      <c r="K185" t="s">
        <v>29</v>
      </c>
      <c r="L185" t="s">
        <v>33</v>
      </c>
      <c r="M185">
        <v>10415.86</v>
      </c>
      <c r="N185" t="str">
        <f t="shared" si="5"/>
        <v>Medium</v>
      </c>
    </row>
    <row r="186" spans="1:14" x14ac:dyDescent="0.3">
      <c r="A186" t="s">
        <v>244</v>
      </c>
      <c r="B186" s="1">
        <v>45437</v>
      </c>
      <c r="C186" s="1" t="str">
        <f t="shared" si="4"/>
        <v>May</v>
      </c>
      <c r="D186" t="s">
        <v>38</v>
      </c>
      <c r="E186" t="s">
        <v>164</v>
      </c>
      <c r="F186" t="s">
        <v>44</v>
      </c>
      <c r="G186">
        <v>3</v>
      </c>
      <c r="H186">
        <v>2011.82</v>
      </c>
      <c r="I186" s="3">
        <v>0</v>
      </c>
      <c r="J186" t="s">
        <v>16</v>
      </c>
      <c r="K186" t="s">
        <v>40</v>
      </c>
      <c r="L186" t="s">
        <v>33</v>
      </c>
      <c r="M186">
        <v>6035.46</v>
      </c>
      <c r="N186" t="str">
        <f t="shared" si="5"/>
        <v>Low</v>
      </c>
    </row>
    <row r="187" spans="1:14" x14ac:dyDescent="0.3">
      <c r="A187" t="s">
        <v>245</v>
      </c>
      <c r="B187" s="1">
        <v>45576</v>
      </c>
      <c r="C187" s="1" t="str">
        <f t="shared" si="4"/>
        <v>October</v>
      </c>
      <c r="D187" t="s">
        <v>13</v>
      </c>
      <c r="E187" t="s">
        <v>70</v>
      </c>
      <c r="F187" t="s">
        <v>47</v>
      </c>
      <c r="G187">
        <v>4</v>
      </c>
      <c r="H187">
        <v>3816.36</v>
      </c>
      <c r="I187" s="3">
        <v>0.1</v>
      </c>
      <c r="J187" t="s">
        <v>16</v>
      </c>
      <c r="K187" t="s">
        <v>49</v>
      </c>
      <c r="L187" t="s">
        <v>33</v>
      </c>
      <c r="M187">
        <v>13738.9</v>
      </c>
      <c r="N187" t="str">
        <f t="shared" si="5"/>
        <v>Medium</v>
      </c>
    </row>
    <row r="188" spans="1:14" x14ac:dyDescent="0.3">
      <c r="A188" t="s">
        <v>246</v>
      </c>
      <c r="B188" s="1">
        <v>45408</v>
      </c>
      <c r="C188" s="1" t="str">
        <f t="shared" si="4"/>
        <v>April</v>
      </c>
      <c r="D188" t="s">
        <v>13</v>
      </c>
      <c r="E188" t="s">
        <v>74</v>
      </c>
      <c r="F188" t="s">
        <v>1160</v>
      </c>
      <c r="G188">
        <v>4</v>
      </c>
      <c r="H188">
        <v>5451.12</v>
      </c>
      <c r="I188" s="3">
        <v>0.1</v>
      </c>
      <c r="J188" t="s">
        <v>28</v>
      </c>
      <c r="K188" t="s">
        <v>49</v>
      </c>
      <c r="L188" t="s">
        <v>33</v>
      </c>
      <c r="M188">
        <v>19624.03</v>
      </c>
      <c r="N188" t="str">
        <f t="shared" si="5"/>
        <v>Medium</v>
      </c>
    </row>
    <row r="189" spans="1:14" x14ac:dyDescent="0.3">
      <c r="A189" t="s">
        <v>247</v>
      </c>
      <c r="B189" s="1">
        <v>45569</v>
      </c>
      <c r="C189" s="1" t="str">
        <f t="shared" si="4"/>
        <v>October</v>
      </c>
      <c r="D189" t="s">
        <v>20</v>
      </c>
      <c r="E189" t="s">
        <v>21</v>
      </c>
      <c r="F189" t="s">
        <v>53</v>
      </c>
      <c r="G189">
        <v>3</v>
      </c>
      <c r="H189">
        <v>5927.12</v>
      </c>
      <c r="I189" s="3">
        <v>0.2</v>
      </c>
      <c r="J189" t="s">
        <v>16</v>
      </c>
      <c r="K189" t="s">
        <v>40</v>
      </c>
      <c r="L189" t="s">
        <v>33</v>
      </c>
      <c r="M189">
        <v>14225.09</v>
      </c>
      <c r="N189" t="str">
        <f t="shared" si="5"/>
        <v>Medium</v>
      </c>
    </row>
    <row r="190" spans="1:14" x14ac:dyDescent="0.3">
      <c r="A190" t="s">
        <v>248</v>
      </c>
      <c r="B190" s="1">
        <v>45631</v>
      </c>
      <c r="C190" s="1" t="str">
        <f t="shared" si="4"/>
        <v>December</v>
      </c>
      <c r="D190" t="s">
        <v>20</v>
      </c>
      <c r="E190" t="s">
        <v>59</v>
      </c>
      <c r="F190" t="s">
        <v>1160</v>
      </c>
      <c r="G190">
        <v>1</v>
      </c>
      <c r="H190">
        <v>684.43</v>
      </c>
      <c r="I190" s="3">
        <v>0.15</v>
      </c>
      <c r="J190" t="s">
        <v>28</v>
      </c>
      <c r="K190" t="s">
        <v>29</v>
      </c>
      <c r="L190" t="s">
        <v>33</v>
      </c>
      <c r="M190">
        <v>581.77</v>
      </c>
      <c r="N190" t="str">
        <f t="shared" si="5"/>
        <v>Low</v>
      </c>
    </row>
    <row r="191" spans="1:14" x14ac:dyDescent="0.3">
      <c r="A191" t="s">
        <v>249</v>
      </c>
      <c r="B191" s="1">
        <v>45498</v>
      </c>
      <c r="C191" s="1" t="str">
        <f t="shared" si="4"/>
        <v>July</v>
      </c>
      <c r="D191" t="s">
        <v>38</v>
      </c>
      <c r="E191" t="s">
        <v>100</v>
      </c>
      <c r="F191" t="s">
        <v>80</v>
      </c>
      <c r="G191">
        <v>4</v>
      </c>
      <c r="H191">
        <v>6233.72</v>
      </c>
      <c r="I191" s="3">
        <v>0.05</v>
      </c>
      <c r="J191" t="s">
        <v>16</v>
      </c>
      <c r="K191" t="s">
        <v>17</v>
      </c>
      <c r="L191" t="s">
        <v>18</v>
      </c>
      <c r="M191">
        <v>23688.14</v>
      </c>
      <c r="N191" t="str">
        <f t="shared" si="5"/>
        <v>High</v>
      </c>
    </row>
    <row r="192" spans="1:14" x14ac:dyDescent="0.3">
      <c r="A192" t="s">
        <v>250</v>
      </c>
      <c r="B192" s="1">
        <v>45472</v>
      </c>
      <c r="C192" s="1" t="str">
        <f t="shared" si="4"/>
        <v>June</v>
      </c>
      <c r="D192" t="s">
        <v>38</v>
      </c>
      <c r="E192" t="s">
        <v>164</v>
      </c>
      <c r="F192" t="s">
        <v>15</v>
      </c>
      <c r="G192">
        <v>6</v>
      </c>
      <c r="H192">
        <v>916.93</v>
      </c>
      <c r="I192" s="3">
        <v>0.1</v>
      </c>
      <c r="J192" t="s">
        <v>16</v>
      </c>
      <c r="K192" t="s">
        <v>17</v>
      </c>
      <c r="L192" t="s">
        <v>18</v>
      </c>
      <c r="M192">
        <v>4951.42</v>
      </c>
      <c r="N192" t="str">
        <f t="shared" si="5"/>
        <v>Low</v>
      </c>
    </row>
    <row r="193" spans="1:14" x14ac:dyDescent="0.3">
      <c r="A193" t="s">
        <v>251</v>
      </c>
      <c r="B193" s="1">
        <v>45393</v>
      </c>
      <c r="C193" s="1" t="str">
        <f t="shared" si="4"/>
        <v>April</v>
      </c>
      <c r="D193" t="s">
        <v>25</v>
      </c>
      <c r="E193" t="s">
        <v>26</v>
      </c>
      <c r="F193" t="s">
        <v>15</v>
      </c>
      <c r="G193">
        <v>3</v>
      </c>
      <c r="H193">
        <v>1376.08</v>
      </c>
      <c r="I193" s="3">
        <v>0</v>
      </c>
      <c r="J193" t="s">
        <v>28</v>
      </c>
      <c r="K193" t="s">
        <v>49</v>
      </c>
      <c r="L193" t="s">
        <v>33</v>
      </c>
      <c r="M193">
        <v>4128.24</v>
      </c>
      <c r="N193" t="str">
        <f t="shared" si="5"/>
        <v>Low</v>
      </c>
    </row>
    <row r="194" spans="1:14" x14ac:dyDescent="0.3">
      <c r="A194" t="s">
        <v>252</v>
      </c>
      <c r="B194" s="1">
        <v>45635</v>
      </c>
      <c r="C194" s="1" t="str">
        <f t="shared" ref="C194:C257" si="6">TEXT(B194,"mmmm")</f>
        <v>December</v>
      </c>
      <c r="D194" t="s">
        <v>25</v>
      </c>
      <c r="E194" t="s">
        <v>46</v>
      </c>
      <c r="F194" t="s">
        <v>15</v>
      </c>
      <c r="G194">
        <v>6</v>
      </c>
      <c r="H194">
        <v>4665.91</v>
      </c>
      <c r="I194" s="3">
        <v>0</v>
      </c>
      <c r="J194" t="s">
        <v>16</v>
      </c>
      <c r="K194" t="s">
        <v>49</v>
      </c>
      <c r="L194" t="s">
        <v>18</v>
      </c>
      <c r="M194">
        <v>27995.46</v>
      </c>
      <c r="N194" t="str">
        <f t="shared" ref="N194:N257" si="7">IF(M194&gt;20000,"High",IF(M194&gt;10000,"Medium","Low"))</f>
        <v>High</v>
      </c>
    </row>
    <row r="195" spans="1:14" x14ac:dyDescent="0.3">
      <c r="A195" t="s">
        <v>253</v>
      </c>
      <c r="B195" s="1">
        <v>45455</v>
      </c>
      <c r="C195" s="1" t="str">
        <f t="shared" si="6"/>
        <v>June</v>
      </c>
      <c r="D195" t="s">
        <v>20</v>
      </c>
      <c r="E195" t="s">
        <v>21</v>
      </c>
      <c r="F195" t="s">
        <v>32</v>
      </c>
      <c r="G195">
        <v>2</v>
      </c>
      <c r="H195">
        <v>6250.4</v>
      </c>
      <c r="I195" s="3">
        <v>0.15</v>
      </c>
      <c r="J195" t="s">
        <v>22</v>
      </c>
      <c r="K195" t="s">
        <v>49</v>
      </c>
      <c r="L195" t="s">
        <v>33</v>
      </c>
      <c r="M195">
        <v>10625.68</v>
      </c>
      <c r="N195" t="str">
        <f t="shared" si="7"/>
        <v>Medium</v>
      </c>
    </row>
    <row r="196" spans="1:14" x14ac:dyDescent="0.3">
      <c r="A196" t="s">
        <v>254</v>
      </c>
      <c r="B196" s="1">
        <v>45470</v>
      </c>
      <c r="C196" s="1" t="str">
        <f t="shared" si="6"/>
        <v>June</v>
      </c>
      <c r="D196" t="s">
        <v>13</v>
      </c>
      <c r="E196" t="s">
        <v>70</v>
      </c>
      <c r="F196" t="s">
        <v>53</v>
      </c>
      <c r="G196">
        <v>4</v>
      </c>
      <c r="H196">
        <v>3624.07</v>
      </c>
      <c r="I196" s="3">
        <v>0.15</v>
      </c>
      <c r="J196" t="s">
        <v>22</v>
      </c>
      <c r="K196" t="s">
        <v>49</v>
      </c>
      <c r="L196" t="s">
        <v>18</v>
      </c>
      <c r="M196">
        <v>12321.84</v>
      </c>
      <c r="N196" t="str">
        <f t="shared" si="7"/>
        <v>Medium</v>
      </c>
    </row>
    <row r="197" spans="1:14" x14ac:dyDescent="0.3">
      <c r="A197" t="s">
        <v>255</v>
      </c>
      <c r="B197" s="1">
        <v>45542</v>
      </c>
      <c r="C197" s="1" t="str">
        <f t="shared" si="6"/>
        <v>September</v>
      </c>
      <c r="D197" t="s">
        <v>20</v>
      </c>
      <c r="E197" t="s">
        <v>78</v>
      </c>
      <c r="F197" t="s">
        <v>47</v>
      </c>
      <c r="G197">
        <v>2</v>
      </c>
      <c r="H197">
        <v>492.98</v>
      </c>
      <c r="I197" s="3">
        <v>0.1</v>
      </c>
      <c r="J197" t="s">
        <v>16</v>
      </c>
      <c r="K197" t="s">
        <v>23</v>
      </c>
      <c r="L197" t="s">
        <v>18</v>
      </c>
      <c r="M197">
        <v>887.36</v>
      </c>
      <c r="N197" t="str">
        <f t="shared" si="7"/>
        <v>Low</v>
      </c>
    </row>
    <row r="198" spans="1:14" x14ac:dyDescent="0.3">
      <c r="A198" t="s">
        <v>256</v>
      </c>
      <c r="B198" s="1">
        <v>45502</v>
      </c>
      <c r="C198" s="1" t="str">
        <f t="shared" si="6"/>
        <v>July</v>
      </c>
      <c r="D198" t="s">
        <v>20</v>
      </c>
      <c r="E198" t="s">
        <v>59</v>
      </c>
      <c r="F198" t="s">
        <v>80</v>
      </c>
      <c r="G198">
        <v>1</v>
      </c>
      <c r="H198">
        <v>1731.08</v>
      </c>
      <c r="I198" s="3">
        <v>0.1</v>
      </c>
      <c r="J198" t="s">
        <v>16</v>
      </c>
      <c r="K198" t="s">
        <v>23</v>
      </c>
      <c r="L198" t="s">
        <v>18</v>
      </c>
      <c r="M198">
        <v>1557.97</v>
      </c>
      <c r="N198" t="str">
        <f t="shared" si="7"/>
        <v>Low</v>
      </c>
    </row>
    <row r="199" spans="1:14" x14ac:dyDescent="0.3">
      <c r="A199" t="s">
        <v>257</v>
      </c>
      <c r="B199" s="1">
        <v>45620</v>
      </c>
      <c r="C199" s="1" t="str">
        <f t="shared" si="6"/>
        <v>November</v>
      </c>
      <c r="D199" t="s">
        <v>25</v>
      </c>
      <c r="E199" t="s">
        <v>87</v>
      </c>
      <c r="F199" t="s">
        <v>47</v>
      </c>
      <c r="G199">
        <v>3</v>
      </c>
      <c r="H199">
        <v>5629.69</v>
      </c>
      <c r="I199" s="3">
        <v>0.05</v>
      </c>
      <c r="J199" t="s">
        <v>22</v>
      </c>
      <c r="K199" t="s">
        <v>49</v>
      </c>
      <c r="L199" t="s">
        <v>33</v>
      </c>
      <c r="M199">
        <v>16044.62</v>
      </c>
      <c r="N199" t="str">
        <f t="shared" si="7"/>
        <v>Medium</v>
      </c>
    </row>
    <row r="200" spans="1:14" x14ac:dyDescent="0.3">
      <c r="A200" t="s">
        <v>258</v>
      </c>
      <c r="B200" s="1">
        <v>45499</v>
      </c>
      <c r="C200" s="1" t="str">
        <f t="shared" si="6"/>
        <v>July</v>
      </c>
      <c r="D200" t="s">
        <v>20</v>
      </c>
      <c r="E200" t="s">
        <v>61</v>
      </c>
      <c r="F200" t="s">
        <v>44</v>
      </c>
      <c r="G200">
        <v>2</v>
      </c>
      <c r="H200">
        <v>1048.6500000000001</v>
      </c>
      <c r="I200" s="3">
        <v>0.1</v>
      </c>
      <c r="J200" t="s">
        <v>16</v>
      </c>
      <c r="K200" t="s">
        <v>23</v>
      </c>
      <c r="L200" t="s">
        <v>18</v>
      </c>
      <c r="M200">
        <v>1887.57</v>
      </c>
      <c r="N200" t="str">
        <f t="shared" si="7"/>
        <v>Low</v>
      </c>
    </row>
    <row r="201" spans="1:14" x14ac:dyDescent="0.3">
      <c r="A201" t="s">
        <v>259</v>
      </c>
      <c r="B201" s="1">
        <v>45374</v>
      </c>
      <c r="C201" s="1" t="str">
        <f t="shared" si="6"/>
        <v>March</v>
      </c>
      <c r="D201" t="s">
        <v>13</v>
      </c>
      <c r="E201" t="s">
        <v>74</v>
      </c>
      <c r="F201" t="s">
        <v>53</v>
      </c>
      <c r="G201">
        <v>3</v>
      </c>
      <c r="H201">
        <v>3643.82</v>
      </c>
      <c r="I201" s="3">
        <v>0.15</v>
      </c>
      <c r="J201" t="s">
        <v>16</v>
      </c>
      <c r="K201" t="s">
        <v>17</v>
      </c>
      <c r="L201" t="s">
        <v>18</v>
      </c>
      <c r="M201">
        <v>9291.74</v>
      </c>
      <c r="N201" t="str">
        <f t="shared" si="7"/>
        <v>Low</v>
      </c>
    </row>
    <row r="202" spans="1:14" x14ac:dyDescent="0.3">
      <c r="A202" t="s">
        <v>260</v>
      </c>
      <c r="B202" s="1">
        <v>45347</v>
      </c>
      <c r="C202" s="1" t="str">
        <f t="shared" si="6"/>
        <v>February</v>
      </c>
      <c r="D202" t="s">
        <v>13</v>
      </c>
      <c r="E202" t="s">
        <v>70</v>
      </c>
      <c r="F202" t="s">
        <v>27</v>
      </c>
      <c r="G202">
        <v>6</v>
      </c>
      <c r="H202">
        <v>3987.68</v>
      </c>
      <c r="I202" s="3">
        <v>0.2</v>
      </c>
      <c r="J202" t="s">
        <v>55</v>
      </c>
      <c r="K202" t="s">
        <v>29</v>
      </c>
      <c r="L202" t="s">
        <v>33</v>
      </c>
      <c r="M202">
        <v>19140.86</v>
      </c>
      <c r="N202" t="str">
        <f t="shared" si="7"/>
        <v>Medium</v>
      </c>
    </row>
    <row r="203" spans="1:14" x14ac:dyDescent="0.3">
      <c r="A203" t="s">
        <v>261</v>
      </c>
      <c r="B203" s="1">
        <v>45306</v>
      </c>
      <c r="C203" s="1" t="str">
        <f t="shared" si="6"/>
        <v>January</v>
      </c>
      <c r="D203" t="s">
        <v>20</v>
      </c>
      <c r="E203" t="s">
        <v>21</v>
      </c>
      <c r="F203" t="s">
        <v>47</v>
      </c>
      <c r="G203">
        <v>1</v>
      </c>
      <c r="H203">
        <v>6229.34</v>
      </c>
      <c r="I203" s="3">
        <v>0.05</v>
      </c>
      <c r="J203" t="s">
        <v>16</v>
      </c>
      <c r="K203" t="s">
        <v>23</v>
      </c>
      <c r="L203" t="s">
        <v>18</v>
      </c>
      <c r="M203">
        <v>5917.87</v>
      </c>
      <c r="N203" t="str">
        <f t="shared" si="7"/>
        <v>Low</v>
      </c>
    </row>
    <row r="204" spans="1:14" x14ac:dyDescent="0.3">
      <c r="A204" t="s">
        <v>262</v>
      </c>
      <c r="B204" s="1">
        <v>45486</v>
      </c>
      <c r="C204" s="1" t="str">
        <f t="shared" si="6"/>
        <v>July</v>
      </c>
      <c r="D204" t="s">
        <v>13</v>
      </c>
      <c r="E204" t="s">
        <v>70</v>
      </c>
      <c r="F204" t="s">
        <v>80</v>
      </c>
      <c r="G204">
        <v>2</v>
      </c>
      <c r="H204">
        <v>5231.34</v>
      </c>
      <c r="I204" s="3">
        <v>0.15</v>
      </c>
      <c r="J204" t="s">
        <v>16</v>
      </c>
      <c r="K204" t="s">
        <v>29</v>
      </c>
      <c r="L204" t="s">
        <v>33</v>
      </c>
      <c r="M204">
        <v>8893.2800000000007</v>
      </c>
      <c r="N204" t="str">
        <f t="shared" si="7"/>
        <v>Low</v>
      </c>
    </row>
    <row r="205" spans="1:14" x14ac:dyDescent="0.3">
      <c r="A205" t="s">
        <v>263</v>
      </c>
      <c r="B205" s="1">
        <v>45582</v>
      </c>
      <c r="C205" s="1" t="str">
        <f t="shared" si="6"/>
        <v>October</v>
      </c>
      <c r="D205" t="s">
        <v>35</v>
      </c>
      <c r="E205" t="s">
        <v>68</v>
      </c>
      <c r="F205" t="s">
        <v>53</v>
      </c>
      <c r="G205">
        <v>6</v>
      </c>
      <c r="H205">
        <v>7380.46</v>
      </c>
      <c r="I205" s="3">
        <v>0.2</v>
      </c>
      <c r="J205" t="s">
        <v>16</v>
      </c>
      <c r="K205" t="s">
        <v>29</v>
      </c>
      <c r="L205" t="s">
        <v>18</v>
      </c>
      <c r="M205">
        <v>35426.21</v>
      </c>
      <c r="N205" t="str">
        <f t="shared" si="7"/>
        <v>High</v>
      </c>
    </row>
    <row r="206" spans="1:14" x14ac:dyDescent="0.3">
      <c r="A206" t="s">
        <v>264</v>
      </c>
      <c r="B206" s="1">
        <v>45362</v>
      </c>
      <c r="C206" s="1" t="str">
        <f t="shared" si="6"/>
        <v>March</v>
      </c>
      <c r="D206" t="s">
        <v>20</v>
      </c>
      <c r="E206" t="s">
        <v>61</v>
      </c>
      <c r="F206" t="s">
        <v>47</v>
      </c>
      <c r="G206">
        <v>4</v>
      </c>
      <c r="H206">
        <v>5148.53</v>
      </c>
      <c r="I206" s="3">
        <v>0.2</v>
      </c>
      <c r="J206" t="s">
        <v>16</v>
      </c>
      <c r="K206" t="s">
        <v>29</v>
      </c>
      <c r="L206" t="s">
        <v>18</v>
      </c>
      <c r="M206">
        <v>16475.3</v>
      </c>
      <c r="N206" t="str">
        <f t="shared" si="7"/>
        <v>Medium</v>
      </c>
    </row>
    <row r="207" spans="1:14" x14ac:dyDescent="0.3">
      <c r="A207" t="s">
        <v>265</v>
      </c>
      <c r="B207" s="1">
        <v>45365</v>
      </c>
      <c r="C207" s="1" t="str">
        <f t="shared" si="6"/>
        <v>March</v>
      </c>
      <c r="D207" t="s">
        <v>35</v>
      </c>
      <c r="E207" t="s">
        <v>36</v>
      </c>
      <c r="F207" t="s">
        <v>15</v>
      </c>
      <c r="G207">
        <v>3</v>
      </c>
      <c r="H207">
        <v>715.15</v>
      </c>
      <c r="I207" s="3">
        <v>0</v>
      </c>
      <c r="J207" t="s">
        <v>28</v>
      </c>
      <c r="K207" t="s">
        <v>23</v>
      </c>
      <c r="L207" t="s">
        <v>33</v>
      </c>
      <c r="M207">
        <f>Orders[[#This Row],[Quantity]]*Orders[[#This Row],[UnitPrice]]-Orders[[#This Row],[Discount%]]</f>
        <v>2145.4499999999998</v>
      </c>
      <c r="N207" t="str">
        <f t="shared" si="7"/>
        <v>Low</v>
      </c>
    </row>
    <row r="208" spans="1:14" x14ac:dyDescent="0.3">
      <c r="A208" t="s">
        <v>266</v>
      </c>
      <c r="B208" s="1">
        <v>45518</v>
      </c>
      <c r="C208" s="1" t="str">
        <f t="shared" si="6"/>
        <v>August</v>
      </c>
      <c r="D208" t="s">
        <v>38</v>
      </c>
      <c r="E208" t="s">
        <v>100</v>
      </c>
      <c r="F208" t="s">
        <v>32</v>
      </c>
      <c r="G208">
        <v>5</v>
      </c>
      <c r="H208">
        <v>5450.8</v>
      </c>
      <c r="I208" s="3">
        <v>0.1</v>
      </c>
      <c r="J208" t="s">
        <v>55</v>
      </c>
      <c r="K208" t="s">
        <v>23</v>
      </c>
      <c r="L208" t="s">
        <v>33</v>
      </c>
      <c r="M208">
        <v>24528.6</v>
      </c>
      <c r="N208" t="str">
        <f t="shared" si="7"/>
        <v>High</v>
      </c>
    </row>
    <row r="209" spans="1:14" x14ac:dyDescent="0.3">
      <c r="A209" t="s">
        <v>267</v>
      </c>
      <c r="B209" s="1">
        <v>45322</v>
      </c>
      <c r="C209" s="1" t="str">
        <f t="shared" si="6"/>
        <v>January</v>
      </c>
      <c r="D209" t="s">
        <v>25</v>
      </c>
      <c r="E209" t="s">
        <v>94</v>
      </c>
      <c r="F209" t="s">
        <v>53</v>
      </c>
      <c r="G209">
        <v>6</v>
      </c>
      <c r="H209">
        <v>5460.1</v>
      </c>
      <c r="I209" s="3">
        <v>0.1</v>
      </c>
      <c r="J209" t="s">
        <v>28</v>
      </c>
      <c r="K209" t="s">
        <v>29</v>
      </c>
      <c r="L209" t="s">
        <v>33</v>
      </c>
      <c r="M209">
        <v>29484.54</v>
      </c>
      <c r="N209" t="str">
        <f t="shared" si="7"/>
        <v>High</v>
      </c>
    </row>
    <row r="210" spans="1:14" x14ac:dyDescent="0.3">
      <c r="A210" t="s">
        <v>268</v>
      </c>
      <c r="B210" s="1">
        <v>45405</v>
      </c>
      <c r="C210" s="1" t="str">
        <f t="shared" si="6"/>
        <v>April</v>
      </c>
      <c r="D210" t="s">
        <v>25</v>
      </c>
      <c r="E210" t="s">
        <v>31</v>
      </c>
      <c r="F210" t="s">
        <v>1160</v>
      </c>
      <c r="G210">
        <v>6</v>
      </c>
      <c r="H210">
        <v>5956.77</v>
      </c>
      <c r="I210" s="3">
        <v>0</v>
      </c>
      <c r="J210" t="s">
        <v>16</v>
      </c>
      <c r="K210" t="s">
        <v>49</v>
      </c>
      <c r="L210" t="s">
        <v>33</v>
      </c>
      <c r="M210">
        <v>35740.620000000003</v>
      </c>
      <c r="N210" t="str">
        <f t="shared" si="7"/>
        <v>High</v>
      </c>
    </row>
    <row r="211" spans="1:14" x14ac:dyDescent="0.3">
      <c r="A211" t="s">
        <v>269</v>
      </c>
      <c r="B211" s="1">
        <v>45425</v>
      </c>
      <c r="C211" s="1" t="str">
        <f t="shared" si="6"/>
        <v>May</v>
      </c>
      <c r="D211" t="s">
        <v>25</v>
      </c>
      <c r="E211" t="s">
        <v>87</v>
      </c>
      <c r="F211" t="s">
        <v>15</v>
      </c>
      <c r="G211">
        <v>1</v>
      </c>
      <c r="H211">
        <v>1933.87</v>
      </c>
      <c r="I211" s="3">
        <v>0.1</v>
      </c>
      <c r="J211" t="s">
        <v>28</v>
      </c>
      <c r="K211" t="s">
        <v>23</v>
      </c>
      <c r="L211" t="s">
        <v>33</v>
      </c>
      <c r="M211">
        <v>1740.48</v>
      </c>
      <c r="N211" t="str">
        <f t="shared" si="7"/>
        <v>Low</v>
      </c>
    </row>
    <row r="212" spans="1:14" x14ac:dyDescent="0.3">
      <c r="A212" t="s">
        <v>270</v>
      </c>
      <c r="B212" s="1">
        <v>45407</v>
      </c>
      <c r="C212" s="1" t="str">
        <f t="shared" si="6"/>
        <v>April</v>
      </c>
      <c r="D212" t="s">
        <v>38</v>
      </c>
      <c r="E212" t="s">
        <v>164</v>
      </c>
      <c r="F212" t="s">
        <v>44</v>
      </c>
      <c r="G212">
        <v>5</v>
      </c>
      <c r="H212">
        <v>4645.75</v>
      </c>
      <c r="I212" s="3">
        <v>0</v>
      </c>
      <c r="J212" t="s">
        <v>22</v>
      </c>
      <c r="K212" t="s">
        <v>40</v>
      </c>
      <c r="L212" t="s">
        <v>33</v>
      </c>
      <c r="M212">
        <v>23228.75</v>
      </c>
      <c r="N212" t="str">
        <f t="shared" si="7"/>
        <v>High</v>
      </c>
    </row>
    <row r="213" spans="1:14" x14ac:dyDescent="0.3">
      <c r="A213" t="s">
        <v>271</v>
      </c>
      <c r="B213" s="1">
        <v>45612</v>
      </c>
      <c r="C213" s="1" t="str">
        <f t="shared" si="6"/>
        <v>November</v>
      </c>
      <c r="D213" t="s">
        <v>20</v>
      </c>
      <c r="E213" t="s">
        <v>57</v>
      </c>
      <c r="F213" t="s">
        <v>53</v>
      </c>
      <c r="G213">
        <v>6</v>
      </c>
      <c r="H213">
        <v>4193.9799999999996</v>
      </c>
      <c r="I213" s="3">
        <v>0.25</v>
      </c>
      <c r="J213" t="s">
        <v>22</v>
      </c>
      <c r="K213" t="s">
        <v>40</v>
      </c>
      <c r="L213" t="s">
        <v>33</v>
      </c>
      <c r="M213">
        <v>18872.91</v>
      </c>
      <c r="N213" t="str">
        <f t="shared" si="7"/>
        <v>Medium</v>
      </c>
    </row>
    <row r="214" spans="1:14" x14ac:dyDescent="0.3">
      <c r="A214" t="s">
        <v>272</v>
      </c>
      <c r="B214" s="1">
        <v>45499</v>
      </c>
      <c r="C214" s="1" t="str">
        <f t="shared" si="6"/>
        <v>July</v>
      </c>
      <c r="D214" t="s">
        <v>13</v>
      </c>
      <c r="E214" t="s">
        <v>70</v>
      </c>
      <c r="F214" t="s">
        <v>32</v>
      </c>
      <c r="G214">
        <v>2</v>
      </c>
      <c r="H214">
        <v>520.69000000000005</v>
      </c>
      <c r="I214" s="3">
        <v>0</v>
      </c>
      <c r="J214" t="s">
        <v>16</v>
      </c>
      <c r="K214" t="s">
        <v>23</v>
      </c>
      <c r="L214" t="s">
        <v>33</v>
      </c>
      <c r="M214">
        <v>1041.3800000000001</v>
      </c>
      <c r="N214" t="str">
        <f t="shared" si="7"/>
        <v>Low</v>
      </c>
    </row>
    <row r="215" spans="1:14" x14ac:dyDescent="0.3">
      <c r="A215" t="s">
        <v>273</v>
      </c>
      <c r="B215" s="1">
        <v>45580</v>
      </c>
      <c r="C215" s="1" t="str">
        <f t="shared" si="6"/>
        <v>October</v>
      </c>
      <c r="D215" t="s">
        <v>35</v>
      </c>
      <c r="E215" t="s">
        <v>36</v>
      </c>
      <c r="F215" t="s">
        <v>1160</v>
      </c>
      <c r="G215">
        <v>1</v>
      </c>
      <c r="H215">
        <v>7352.41</v>
      </c>
      <c r="I215" s="3">
        <v>0.15</v>
      </c>
      <c r="J215" t="s">
        <v>16</v>
      </c>
      <c r="K215" t="s">
        <v>40</v>
      </c>
      <c r="L215" t="s">
        <v>33</v>
      </c>
      <c r="M215">
        <v>6249.55</v>
      </c>
      <c r="N215" t="str">
        <f t="shared" si="7"/>
        <v>Low</v>
      </c>
    </row>
    <row r="216" spans="1:14" x14ac:dyDescent="0.3">
      <c r="A216" t="s">
        <v>274</v>
      </c>
      <c r="B216" s="1">
        <v>45554</v>
      </c>
      <c r="C216" s="1" t="str">
        <f t="shared" si="6"/>
        <v>September</v>
      </c>
      <c r="D216" t="s">
        <v>35</v>
      </c>
      <c r="E216" t="s">
        <v>63</v>
      </c>
      <c r="F216" t="s">
        <v>80</v>
      </c>
      <c r="G216">
        <v>6</v>
      </c>
      <c r="H216">
        <v>4268.96</v>
      </c>
      <c r="I216" s="3">
        <v>0.15</v>
      </c>
      <c r="J216" t="s">
        <v>22</v>
      </c>
      <c r="K216" t="s">
        <v>29</v>
      </c>
      <c r="L216" t="s">
        <v>18</v>
      </c>
      <c r="M216">
        <v>21771.7</v>
      </c>
      <c r="N216" t="str">
        <f t="shared" si="7"/>
        <v>High</v>
      </c>
    </row>
    <row r="217" spans="1:14" x14ac:dyDescent="0.3">
      <c r="A217" t="s">
        <v>275</v>
      </c>
      <c r="B217" s="1">
        <v>45473</v>
      </c>
      <c r="C217" s="1" t="str">
        <f t="shared" si="6"/>
        <v>June</v>
      </c>
      <c r="D217" t="s">
        <v>35</v>
      </c>
      <c r="E217" t="s">
        <v>63</v>
      </c>
      <c r="F217" t="s">
        <v>27</v>
      </c>
      <c r="G217">
        <v>2</v>
      </c>
      <c r="H217">
        <v>5597.33</v>
      </c>
      <c r="I217" s="3">
        <v>0</v>
      </c>
      <c r="J217" t="s">
        <v>28</v>
      </c>
      <c r="K217" t="s">
        <v>29</v>
      </c>
      <c r="L217" t="s">
        <v>33</v>
      </c>
      <c r="M217">
        <v>11194.66</v>
      </c>
      <c r="N217" t="str">
        <f t="shared" si="7"/>
        <v>Medium</v>
      </c>
    </row>
    <row r="218" spans="1:14" x14ac:dyDescent="0.3">
      <c r="A218" t="s">
        <v>276</v>
      </c>
      <c r="B218" s="1">
        <v>45643</v>
      </c>
      <c r="C218" s="1" t="str">
        <f t="shared" si="6"/>
        <v>December</v>
      </c>
      <c r="D218" t="s">
        <v>20</v>
      </c>
      <c r="E218" t="s">
        <v>57</v>
      </c>
      <c r="F218" t="s">
        <v>27</v>
      </c>
      <c r="G218">
        <v>6</v>
      </c>
      <c r="H218">
        <v>3139.44</v>
      </c>
      <c r="I218" s="3">
        <v>0.05</v>
      </c>
      <c r="J218" t="s">
        <v>28</v>
      </c>
      <c r="K218" t="s">
        <v>17</v>
      </c>
      <c r="L218" t="s">
        <v>18</v>
      </c>
      <c r="M218">
        <v>17894.810000000001</v>
      </c>
      <c r="N218" t="str">
        <f t="shared" si="7"/>
        <v>Medium</v>
      </c>
    </row>
    <row r="219" spans="1:14" x14ac:dyDescent="0.3">
      <c r="A219" t="s">
        <v>277</v>
      </c>
      <c r="B219" s="1">
        <v>45541</v>
      </c>
      <c r="C219" s="1" t="str">
        <f t="shared" si="6"/>
        <v>September</v>
      </c>
      <c r="D219" t="s">
        <v>35</v>
      </c>
      <c r="E219" t="s">
        <v>97</v>
      </c>
      <c r="F219" t="s">
        <v>47</v>
      </c>
      <c r="G219">
        <v>5</v>
      </c>
      <c r="H219">
        <v>3949.16</v>
      </c>
      <c r="I219" s="3">
        <v>0</v>
      </c>
      <c r="J219" t="s">
        <v>16</v>
      </c>
      <c r="K219" t="s">
        <v>17</v>
      </c>
      <c r="L219" t="s">
        <v>33</v>
      </c>
      <c r="M219">
        <v>19745.8</v>
      </c>
      <c r="N219" t="str">
        <f t="shared" si="7"/>
        <v>Medium</v>
      </c>
    </row>
    <row r="220" spans="1:14" x14ac:dyDescent="0.3">
      <c r="A220" t="s">
        <v>278</v>
      </c>
      <c r="B220" s="1">
        <v>45604</v>
      </c>
      <c r="C220" s="1" t="str">
        <f t="shared" si="6"/>
        <v>November</v>
      </c>
      <c r="D220" t="s">
        <v>38</v>
      </c>
      <c r="E220" t="s">
        <v>39</v>
      </c>
      <c r="F220" t="s">
        <v>1160</v>
      </c>
      <c r="G220">
        <v>5</v>
      </c>
      <c r="H220">
        <v>745.69</v>
      </c>
      <c r="I220" s="3">
        <v>0.15</v>
      </c>
      <c r="J220" t="s">
        <v>28</v>
      </c>
      <c r="K220" t="s">
        <v>23</v>
      </c>
      <c r="L220" t="s">
        <v>33</v>
      </c>
      <c r="M220">
        <v>3169.18</v>
      </c>
      <c r="N220" t="str">
        <f t="shared" si="7"/>
        <v>Low</v>
      </c>
    </row>
    <row r="221" spans="1:14" x14ac:dyDescent="0.3">
      <c r="A221" t="s">
        <v>279</v>
      </c>
      <c r="B221" s="1">
        <v>45490</v>
      </c>
      <c r="C221" s="1" t="str">
        <f t="shared" si="6"/>
        <v>July</v>
      </c>
      <c r="D221" t="s">
        <v>38</v>
      </c>
      <c r="E221" t="s">
        <v>100</v>
      </c>
      <c r="F221" t="s">
        <v>44</v>
      </c>
      <c r="G221">
        <v>3</v>
      </c>
      <c r="H221">
        <v>2617.7199999999998</v>
      </c>
      <c r="I221" s="3">
        <v>0.15</v>
      </c>
      <c r="J221" t="s">
        <v>28</v>
      </c>
      <c r="K221" t="s">
        <v>49</v>
      </c>
      <c r="L221" t="s">
        <v>18</v>
      </c>
      <c r="M221">
        <v>6675.19</v>
      </c>
      <c r="N221" t="str">
        <f t="shared" si="7"/>
        <v>Low</v>
      </c>
    </row>
    <row r="222" spans="1:14" x14ac:dyDescent="0.3">
      <c r="A222" t="s">
        <v>280</v>
      </c>
      <c r="B222" s="1">
        <v>45488</v>
      </c>
      <c r="C222" s="1" t="str">
        <f t="shared" si="6"/>
        <v>July</v>
      </c>
      <c r="D222" t="s">
        <v>20</v>
      </c>
      <c r="E222" t="s">
        <v>61</v>
      </c>
      <c r="F222" t="s">
        <v>27</v>
      </c>
      <c r="G222">
        <v>3</v>
      </c>
      <c r="H222">
        <v>648.34</v>
      </c>
      <c r="I222" s="3">
        <v>0.1</v>
      </c>
      <c r="J222" t="s">
        <v>16</v>
      </c>
      <c r="K222" t="s">
        <v>40</v>
      </c>
      <c r="L222" t="s">
        <v>18</v>
      </c>
      <c r="M222">
        <v>1750.52</v>
      </c>
      <c r="N222" t="str">
        <f t="shared" si="7"/>
        <v>Low</v>
      </c>
    </row>
    <row r="223" spans="1:14" x14ac:dyDescent="0.3">
      <c r="A223" t="s">
        <v>281</v>
      </c>
      <c r="B223" s="1">
        <v>45477</v>
      </c>
      <c r="C223" s="1" t="str">
        <f t="shared" si="6"/>
        <v>July</v>
      </c>
      <c r="D223" t="s">
        <v>20</v>
      </c>
      <c r="E223" t="s">
        <v>78</v>
      </c>
      <c r="F223" t="s">
        <v>53</v>
      </c>
      <c r="G223">
        <v>3</v>
      </c>
      <c r="H223">
        <v>6375.38</v>
      </c>
      <c r="I223" s="3">
        <v>0.1</v>
      </c>
      <c r="J223" t="s">
        <v>16</v>
      </c>
      <c r="K223" t="s">
        <v>49</v>
      </c>
      <c r="L223" t="s">
        <v>33</v>
      </c>
      <c r="M223">
        <v>17213.53</v>
      </c>
      <c r="N223" t="str">
        <f t="shared" si="7"/>
        <v>Medium</v>
      </c>
    </row>
    <row r="224" spans="1:14" x14ac:dyDescent="0.3">
      <c r="A224" t="s">
        <v>282</v>
      </c>
      <c r="B224" s="1">
        <v>45463</v>
      </c>
      <c r="C224" s="1" t="str">
        <f t="shared" si="6"/>
        <v>June</v>
      </c>
      <c r="D224" t="s">
        <v>13</v>
      </c>
      <c r="E224" t="s">
        <v>70</v>
      </c>
      <c r="F224" t="s">
        <v>15</v>
      </c>
      <c r="G224">
        <v>1</v>
      </c>
      <c r="H224">
        <v>5678.17</v>
      </c>
      <c r="I224" s="3">
        <v>0.15</v>
      </c>
      <c r="J224" t="s">
        <v>55</v>
      </c>
      <c r="K224" t="s">
        <v>23</v>
      </c>
      <c r="L224" t="s">
        <v>33</v>
      </c>
      <c r="M224">
        <v>4826.4399999999996</v>
      </c>
      <c r="N224" t="str">
        <f t="shared" si="7"/>
        <v>Low</v>
      </c>
    </row>
    <row r="225" spans="1:14" x14ac:dyDescent="0.3">
      <c r="A225" t="s">
        <v>283</v>
      </c>
      <c r="B225" s="1">
        <v>45499</v>
      </c>
      <c r="C225" s="1" t="str">
        <f t="shared" si="6"/>
        <v>July</v>
      </c>
      <c r="D225" t="s">
        <v>20</v>
      </c>
      <c r="E225" t="s">
        <v>21</v>
      </c>
      <c r="F225" t="s">
        <v>44</v>
      </c>
      <c r="G225">
        <v>4</v>
      </c>
      <c r="H225">
        <v>3259.18</v>
      </c>
      <c r="I225" s="3">
        <v>0.1</v>
      </c>
      <c r="J225" t="s">
        <v>16</v>
      </c>
      <c r="K225" t="s">
        <v>49</v>
      </c>
      <c r="L225" t="s">
        <v>33</v>
      </c>
      <c r="M225">
        <v>11733.05</v>
      </c>
      <c r="N225" t="str">
        <f t="shared" si="7"/>
        <v>Medium</v>
      </c>
    </row>
    <row r="226" spans="1:14" x14ac:dyDescent="0.3">
      <c r="A226" t="s">
        <v>284</v>
      </c>
      <c r="B226" s="1">
        <v>45591</v>
      </c>
      <c r="C226" s="1" t="str">
        <f t="shared" si="6"/>
        <v>October</v>
      </c>
      <c r="D226" t="s">
        <v>35</v>
      </c>
      <c r="E226" t="s">
        <v>63</v>
      </c>
      <c r="F226" t="s">
        <v>53</v>
      </c>
      <c r="G226">
        <v>2</v>
      </c>
      <c r="H226">
        <v>2538.2600000000002</v>
      </c>
      <c r="I226" s="3">
        <v>0.15</v>
      </c>
      <c r="J226" t="s">
        <v>55</v>
      </c>
      <c r="K226" t="s">
        <v>40</v>
      </c>
      <c r="L226" t="s">
        <v>33</v>
      </c>
      <c r="M226">
        <v>4315.04</v>
      </c>
      <c r="N226" t="str">
        <f t="shared" si="7"/>
        <v>Low</v>
      </c>
    </row>
    <row r="227" spans="1:14" x14ac:dyDescent="0.3">
      <c r="A227" t="s">
        <v>285</v>
      </c>
      <c r="B227" s="1">
        <v>45423</v>
      </c>
      <c r="C227" s="1" t="str">
        <f t="shared" si="6"/>
        <v>May</v>
      </c>
      <c r="D227" t="s">
        <v>13</v>
      </c>
      <c r="E227" t="s">
        <v>14</v>
      </c>
      <c r="F227" t="s">
        <v>27</v>
      </c>
      <c r="G227">
        <v>5</v>
      </c>
      <c r="H227">
        <v>331.12</v>
      </c>
      <c r="I227" s="3">
        <v>0.05</v>
      </c>
      <c r="J227" t="s">
        <v>22</v>
      </c>
      <c r="K227" t="s">
        <v>23</v>
      </c>
      <c r="L227" t="s">
        <v>33</v>
      </c>
      <c r="M227">
        <v>1572.82</v>
      </c>
      <c r="N227" t="str">
        <f t="shared" si="7"/>
        <v>Low</v>
      </c>
    </row>
    <row r="228" spans="1:14" x14ac:dyDescent="0.3">
      <c r="A228" t="s">
        <v>286</v>
      </c>
      <c r="B228" s="1">
        <v>45415</v>
      </c>
      <c r="C228" s="1" t="str">
        <f t="shared" si="6"/>
        <v>May</v>
      </c>
      <c r="D228" t="s">
        <v>25</v>
      </c>
      <c r="E228" t="s">
        <v>31</v>
      </c>
      <c r="F228" t="s">
        <v>1160</v>
      </c>
      <c r="G228">
        <v>6</v>
      </c>
      <c r="H228">
        <v>595.88</v>
      </c>
      <c r="I228" s="3">
        <v>0.05</v>
      </c>
      <c r="J228" t="s">
        <v>28</v>
      </c>
      <c r="K228" t="s">
        <v>23</v>
      </c>
      <c r="L228" t="s">
        <v>18</v>
      </c>
      <c r="M228">
        <v>3396.52</v>
      </c>
      <c r="N228" t="str">
        <f t="shared" si="7"/>
        <v>Low</v>
      </c>
    </row>
    <row r="229" spans="1:14" x14ac:dyDescent="0.3">
      <c r="A229" t="s">
        <v>287</v>
      </c>
      <c r="B229" s="1">
        <v>45619</v>
      </c>
      <c r="C229" s="1" t="str">
        <f t="shared" si="6"/>
        <v>November</v>
      </c>
      <c r="D229" t="s">
        <v>20</v>
      </c>
      <c r="E229" t="s">
        <v>59</v>
      </c>
      <c r="F229" t="s">
        <v>32</v>
      </c>
      <c r="G229">
        <v>3</v>
      </c>
      <c r="H229">
        <v>7394.67</v>
      </c>
      <c r="I229" s="3">
        <v>0.1</v>
      </c>
      <c r="J229" t="s">
        <v>16</v>
      </c>
      <c r="K229" t="s">
        <v>29</v>
      </c>
      <c r="L229" t="s">
        <v>33</v>
      </c>
      <c r="M229">
        <v>19965.61</v>
      </c>
      <c r="N229" t="str">
        <f t="shared" si="7"/>
        <v>Medium</v>
      </c>
    </row>
    <row r="230" spans="1:14" x14ac:dyDescent="0.3">
      <c r="A230" t="s">
        <v>288</v>
      </c>
      <c r="B230" s="1">
        <v>45336</v>
      </c>
      <c r="C230" s="1" t="str">
        <f t="shared" si="6"/>
        <v>February</v>
      </c>
      <c r="D230" t="s">
        <v>35</v>
      </c>
      <c r="E230" t="s">
        <v>65</v>
      </c>
      <c r="F230" t="s">
        <v>32</v>
      </c>
      <c r="G230">
        <v>6</v>
      </c>
      <c r="H230">
        <v>4960.42</v>
      </c>
      <c r="I230" s="3">
        <v>0.25</v>
      </c>
      <c r="J230" t="s">
        <v>28</v>
      </c>
      <c r="K230" t="s">
        <v>29</v>
      </c>
      <c r="L230" t="s">
        <v>33</v>
      </c>
      <c r="M230">
        <f>Orders[[#This Row],[Quantity]]*Orders[[#This Row],[UnitPrice]]-Orders[[#This Row],[Discount%]]</f>
        <v>29762.27</v>
      </c>
      <c r="N230" t="str">
        <f t="shared" si="7"/>
        <v>High</v>
      </c>
    </row>
    <row r="231" spans="1:14" x14ac:dyDescent="0.3">
      <c r="A231" t="s">
        <v>289</v>
      </c>
      <c r="B231" s="1">
        <v>45372</v>
      </c>
      <c r="C231" s="1" t="str">
        <f t="shared" si="6"/>
        <v>March</v>
      </c>
      <c r="D231" t="s">
        <v>35</v>
      </c>
      <c r="E231" t="s">
        <v>65</v>
      </c>
      <c r="F231" t="s">
        <v>80</v>
      </c>
      <c r="G231">
        <v>1</v>
      </c>
      <c r="H231">
        <v>296.02</v>
      </c>
      <c r="I231" s="3">
        <v>0.1</v>
      </c>
      <c r="J231" t="s">
        <v>16</v>
      </c>
      <c r="K231" t="s">
        <v>29</v>
      </c>
      <c r="L231" t="s">
        <v>33</v>
      </c>
      <c r="M231">
        <v>266.42</v>
      </c>
      <c r="N231" t="str">
        <f t="shared" si="7"/>
        <v>Low</v>
      </c>
    </row>
    <row r="232" spans="1:14" x14ac:dyDescent="0.3">
      <c r="A232" t="s">
        <v>290</v>
      </c>
      <c r="B232" s="1">
        <v>45409</v>
      </c>
      <c r="C232" s="1" t="str">
        <f t="shared" si="6"/>
        <v>April</v>
      </c>
      <c r="D232" t="s">
        <v>25</v>
      </c>
      <c r="E232" t="s">
        <v>94</v>
      </c>
      <c r="F232" t="s">
        <v>80</v>
      </c>
      <c r="G232">
        <v>6</v>
      </c>
      <c r="H232">
        <v>5006.6099999999997</v>
      </c>
      <c r="I232" s="3">
        <v>0.25</v>
      </c>
      <c r="J232" t="s">
        <v>16</v>
      </c>
      <c r="K232" t="s">
        <v>17</v>
      </c>
      <c r="L232" t="s">
        <v>33</v>
      </c>
      <c r="M232">
        <v>22529.74</v>
      </c>
      <c r="N232" t="str">
        <f t="shared" si="7"/>
        <v>High</v>
      </c>
    </row>
    <row r="233" spans="1:14" x14ac:dyDescent="0.3">
      <c r="A233" t="s">
        <v>291</v>
      </c>
      <c r="B233" s="1">
        <v>45359</v>
      </c>
      <c r="C233" s="1" t="str">
        <f t="shared" si="6"/>
        <v>March</v>
      </c>
      <c r="D233" t="s">
        <v>13</v>
      </c>
      <c r="E233" t="s">
        <v>70</v>
      </c>
      <c r="F233" t="s">
        <v>27</v>
      </c>
      <c r="G233">
        <v>3</v>
      </c>
      <c r="H233">
        <v>220.97</v>
      </c>
      <c r="I233" s="3">
        <v>0.25</v>
      </c>
      <c r="J233" t="s">
        <v>16</v>
      </c>
      <c r="K233" t="s">
        <v>23</v>
      </c>
      <c r="L233" t="s">
        <v>33</v>
      </c>
      <c r="M233">
        <v>497.18</v>
      </c>
      <c r="N233" t="str">
        <f t="shared" si="7"/>
        <v>Low</v>
      </c>
    </row>
    <row r="234" spans="1:14" x14ac:dyDescent="0.3">
      <c r="A234" t="s">
        <v>292</v>
      </c>
      <c r="B234" s="1">
        <v>45354</v>
      </c>
      <c r="C234" s="1" t="str">
        <f t="shared" si="6"/>
        <v>March</v>
      </c>
      <c r="D234" t="s">
        <v>35</v>
      </c>
      <c r="E234" t="s">
        <v>68</v>
      </c>
      <c r="F234" t="s">
        <v>47</v>
      </c>
      <c r="G234">
        <v>1</v>
      </c>
      <c r="H234">
        <v>4414.68</v>
      </c>
      <c r="I234" s="3">
        <v>0.1</v>
      </c>
      <c r="J234" t="s">
        <v>28</v>
      </c>
      <c r="K234" t="s">
        <v>23</v>
      </c>
      <c r="L234" t="s">
        <v>33</v>
      </c>
      <c r="M234">
        <v>3973.21</v>
      </c>
      <c r="N234" t="str">
        <f t="shared" si="7"/>
        <v>Low</v>
      </c>
    </row>
    <row r="235" spans="1:14" x14ac:dyDescent="0.3">
      <c r="A235" t="s">
        <v>293</v>
      </c>
      <c r="B235" s="1">
        <v>45655</v>
      </c>
      <c r="C235" s="1" t="str">
        <f t="shared" si="6"/>
        <v>December</v>
      </c>
      <c r="D235" t="s">
        <v>25</v>
      </c>
      <c r="E235" t="s">
        <v>31</v>
      </c>
      <c r="F235" t="s">
        <v>80</v>
      </c>
      <c r="G235">
        <v>2</v>
      </c>
      <c r="H235">
        <v>3616.22</v>
      </c>
      <c r="I235" s="3">
        <v>0.25</v>
      </c>
      <c r="J235" t="s">
        <v>16</v>
      </c>
      <c r="K235" t="s">
        <v>29</v>
      </c>
      <c r="L235" t="s">
        <v>18</v>
      </c>
      <c r="M235">
        <v>5424.33</v>
      </c>
      <c r="N235" t="str">
        <f t="shared" si="7"/>
        <v>Low</v>
      </c>
    </row>
    <row r="236" spans="1:14" x14ac:dyDescent="0.3">
      <c r="A236" t="s">
        <v>294</v>
      </c>
      <c r="B236" s="1">
        <v>45622</v>
      </c>
      <c r="C236" s="1" t="str">
        <f t="shared" si="6"/>
        <v>November</v>
      </c>
      <c r="D236" t="s">
        <v>35</v>
      </c>
      <c r="E236" t="s">
        <v>68</v>
      </c>
      <c r="F236" t="s">
        <v>53</v>
      </c>
      <c r="G236">
        <v>4</v>
      </c>
      <c r="H236">
        <v>5442.57</v>
      </c>
      <c r="I236" s="3">
        <v>0.15</v>
      </c>
      <c r="J236" t="s">
        <v>16</v>
      </c>
      <c r="K236" t="s">
        <v>23</v>
      </c>
      <c r="L236" t="s">
        <v>18</v>
      </c>
      <c r="M236">
        <v>18504.740000000002</v>
      </c>
      <c r="N236" t="str">
        <f t="shared" si="7"/>
        <v>Medium</v>
      </c>
    </row>
    <row r="237" spans="1:14" x14ac:dyDescent="0.3">
      <c r="A237" t="s">
        <v>295</v>
      </c>
      <c r="B237" s="1">
        <v>45655</v>
      </c>
      <c r="C237" s="1" t="str">
        <f t="shared" si="6"/>
        <v>December</v>
      </c>
      <c r="D237" t="s">
        <v>13</v>
      </c>
      <c r="E237" t="s">
        <v>76</v>
      </c>
      <c r="F237" t="s">
        <v>27</v>
      </c>
      <c r="G237">
        <v>4</v>
      </c>
      <c r="H237">
        <v>2048.36</v>
      </c>
      <c r="I237" s="3">
        <v>0.15</v>
      </c>
      <c r="J237" t="s">
        <v>16</v>
      </c>
      <c r="K237" t="s">
        <v>17</v>
      </c>
      <c r="L237" t="s">
        <v>33</v>
      </c>
      <c r="M237">
        <v>6964.42</v>
      </c>
      <c r="N237" t="str">
        <f t="shared" si="7"/>
        <v>Low</v>
      </c>
    </row>
    <row r="238" spans="1:14" x14ac:dyDescent="0.3">
      <c r="A238" t="s">
        <v>296</v>
      </c>
      <c r="B238" s="1">
        <v>45428</v>
      </c>
      <c r="C238" s="1" t="str">
        <f t="shared" si="6"/>
        <v>May</v>
      </c>
      <c r="D238" t="s">
        <v>25</v>
      </c>
      <c r="E238" t="s">
        <v>26</v>
      </c>
      <c r="F238" t="s">
        <v>44</v>
      </c>
      <c r="G238">
        <v>2</v>
      </c>
      <c r="H238">
        <v>6609.21</v>
      </c>
      <c r="I238" s="3">
        <v>0.1</v>
      </c>
      <c r="J238" t="s">
        <v>16</v>
      </c>
      <c r="K238" t="s">
        <v>49</v>
      </c>
      <c r="L238" t="s">
        <v>33</v>
      </c>
      <c r="M238">
        <v>11896.58</v>
      </c>
      <c r="N238" t="str">
        <f t="shared" si="7"/>
        <v>Medium</v>
      </c>
    </row>
    <row r="239" spans="1:14" x14ac:dyDescent="0.3">
      <c r="A239" t="s">
        <v>297</v>
      </c>
      <c r="B239" s="1">
        <v>45399</v>
      </c>
      <c r="C239" s="1" t="str">
        <f t="shared" si="6"/>
        <v>April</v>
      </c>
      <c r="D239" t="s">
        <v>20</v>
      </c>
      <c r="E239" t="s">
        <v>57</v>
      </c>
      <c r="F239" t="s">
        <v>32</v>
      </c>
      <c r="G239">
        <v>6</v>
      </c>
      <c r="H239">
        <v>2978.86</v>
      </c>
      <c r="I239" s="3">
        <v>0.25</v>
      </c>
      <c r="J239" t="s">
        <v>16</v>
      </c>
      <c r="K239" t="s">
        <v>40</v>
      </c>
      <c r="L239" t="s">
        <v>33</v>
      </c>
      <c r="M239">
        <v>13404.87</v>
      </c>
      <c r="N239" t="str">
        <f t="shared" si="7"/>
        <v>Medium</v>
      </c>
    </row>
    <row r="240" spans="1:14" x14ac:dyDescent="0.3">
      <c r="A240" t="s">
        <v>298</v>
      </c>
      <c r="B240" s="1">
        <v>45369</v>
      </c>
      <c r="C240" s="1" t="str">
        <f t="shared" si="6"/>
        <v>March</v>
      </c>
      <c r="D240" t="s">
        <v>35</v>
      </c>
      <c r="E240" t="s">
        <v>63</v>
      </c>
      <c r="F240" t="s">
        <v>27</v>
      </c>
      <c r="G240">
        <v>5</v>
      </c>
      <c r="H240">
        <v>5927.73</v>
      </c>
      <c r="I240" s="3">
        <v>0</v>
      </c>
      <c r="J240" t="s">
        <v>16</v>
      </c>
      <c r="K240" t="s">
        <v>17</v>
      </c>
      <c r="L240" t="s">
        <v>33</v>
      </c>
      <c r="M240">
        <v>29638.65</v>
      </c>
      <c r="N240" t="str">
        <f t="shared" si="7"/>
        <v>High</v>
      </c>
    </row>
    <row r="241" spans="1:14" x14ac:dyDescent="0.3">
      <c r="A241" t="s">
        <v>299</v>
      </c>
      <c r="B241" s="1">
        <v>45395</v>
      </c>
      <c r="C241" s="1" t="str">
        <f t="shared" si="6"/>
        <v>April</v>
      </c>
      <c r="D241" t="s">
        <v>35</v>
      </c>
      <c r="E241" t="s">
        <v>36</v>
      </c>
      <c r="F241" t="s">
        <v>1160</v>
      </c>
      <c r="G241">
        <v>6</v>
      </c>
      <c r="H241">
        <v>5562.25</v>
      </c>
      <c r="I241" s="3">
        <v>0</v>
      </c>
      <c r="J241" t="s">
        <v>16</v>
      </c>
      <c r="K241" t="s">
        <v>40</v>
      </c>
      <c r="L241" t="s">
        <v>18</v>
      </c>
      <c r="M241">
        <v>33373.5</v>
      </c>
      <c r="N241" t="str">
        <f t="shared" si="7"/>
        <v>High</v>
      </c>
    </row>
    <row r="242" spans="1:14" x14ac:dyDescent="0.3">
      <c r="A242" t="s">
        <v>300</v>
      </c>
      <c r="B242" s="1">
        <v>45353</v>
      </c>
      <c r="C242" s="1" t="str">
        <f t="shared" si="6"/>
        <v>March</v>
      </c>
      <c r="D242" t="s">
        <v>13</v>
      </c>
      <c r="E242" t="s">
        <v>76</v>
      </c>
      <c r="F242" t="s">
        <v>53</v>
      </c>
      <c r="G242">
        <v>4</v>
      </c>
      <c r="H242">
        <v>7769.12</v>
      </c>
      <c r="I242" s="3">
        <v>0.2</v>
      </c>
      <c r="J242" t="s">
        <v>16</v>
      </c>
      <c r="K242" t="s">
        <v>49</v>
      </c>
      <c r="L242" t="s">
        <v>18</v>
      </c>
      <c r="M242">
        <v>24861.18</v>
      </c>
      <c r="N242" t="str">
        <f t="shared" si="7"/>
        <v>High</v>
      </c>
    </row>
    <row r="243" spans="1:14" x14ac:dyDescent="0.3">
      <c r="A243" t="s">
        <v>301</v>
      </c>
      <c r="B243" s="1">
        <v>45331</v>
      </c>
      <c r="C243" s="1" t="str">
        <f t="shared" si="6"/>
        <v>February</v>
      </c>
      <c r="D243" t="s">
        <v>25</v>
      </c>
      <c r="E243" t="s">
        <v>46</v>
      </c>
      <c r="F243" t="s">
        <v>44</v>
      </c>
      <c r="G243">
        <v>3</v>
      </c>
      <c r="H243">
        <v>7768.35</v>
      </c>
      <c r="I243" s="3">
        <v>0.1</v>
      </c>
      <c r="J243" t="s">
        <v>22</v>
      </c>
      <c r="K243" t="s">
        <v>40</v>
      </c>
      <c r="L243" t="s">
        <v>33</v>
      </c>
      <c r="M243">
        <v>20974.55</v>
      </c>
      <c r="N243" t="str">
        <f t="shared" si="7"/>
        <v>High</v>
      </c>
    </row>
    <row r="244" spans="1:14" x14ac:dyDescent="0.3">
      <c r="A244" t="s">
        <v>302</v>
      </c>
      <c r="B244" s="1">
        <v>45576</v>
      </c>
      <c r="C244" s="1" t="str">
        <f t="shared" si="6"/>
        <v>October</v>
      </c>
      <c r="D244" t="s">
        <v>25</v>
      </c>
      <c r="E244" t="s">
        <v>31</v>
      </c>
      <c r="F244" t="s">
        <v>15</v>
      </c>
      <c r="G244">
        <v>3</v>
      </c>
      <c r="H244">
        <v>2247.58</v>
      </c>
      <c r="I244" s="3">
        <v>0.15</v>
      </c>
      <c r="J244" t="s">
        <v>22</v>
      </c>
      <c r="K244" t="s">
        <v>17</v>
      </c>
      <c r="L244" t="s">
        <v>33</v>
      </c>
      <c r="M244">
        <v>5731.33</v>
      </c>
      <c r="N244" t="str">
        <f t="shared" si="7"/>
        <v>Low</v>
      </c>
    </row>
    <row r="245" spans="1:14" x14ac:dyDescent="0.3">
      <c r="A245" t="s">
        <v>303</v>
      </c>
      <c r="B245" s="1">
        <v>45568</v>
      </c>
      <c r="C245" s="1" t="str">
        <f t="shared" si="6"/>
        <v>October</v>
      </c>
      <c r="D245" t="s">
        <v>38</v>
      </c>
      <c r="E245" t="s">
        <v>39</v>
      </c>
      <c r="F245" t="s">
        <v>80</v>
      </c>
      <c r="G245">
        <v>4</v>
      </c>
      <c r="H245">
        <v>3156.36</v>
      </c>
      <c r="I245" s="3">
        <v>0.05</v>
      </c>
      <c r="J245" t="s">
        <v>55</v>
      </c>
      <c r="K245" t="s">
        <v>40</v>
      </c>
      <c r="L245" t="s">
        <v>33</v>
      </c>
      <c r="M245">
        <v>11994.17</v>
      </c>
      <c r="N245" t="str">
        <f t="shared" si="7"/>
        <v>Medium</v>
      </c>
    </row>
    <row r="246" spans="1:14" x14ac:dyDescent="0.3">
      <c r="A246" t="s">
        <v>304</v>
      </c>
      <c r="B246" s="1">
        <v>45647</v>
      </c>
      <c r="C246" s="1" t="str">
        <f t="shared" si="6"/>
        <v>December</v>
      </c>
      <c r="D246" t="s">
        <v>25</v>
      </c>
      <c r="E246" t="s">
        <v>94</v>
      </c>
      <c r="F246" t="s">
        <v>27</v>
      </c>
      <c r="G246">
        <v>5</v>
      </c>
      <c r="H246">
        <v>5880.48</v>
      </c>
      <c r="I246" s="3">
        <v>0.1</v>
      </c>
      <c r="J246" t="s">
        <v>16</v>
      </c>
      <c r="K246" t="s">
        <v>40</v>
      </c>
      <c r="L246" t="s">
        <v>33</v>
      </c>
      <c r="M246">
        <v>26462.16</v>
      </c>
      <c r="N246" t="str">
        <f t="shared" si="7"/>
        <v>High</v>
      </c>
    </row>
    <row r="247" spans="1:14" x14ac:dyDescent="0.3">
      <c r="A247" t="s">
        <v>305</v>
      </c>
      <c r="B247" s="1">
        <v>45573</v>
      </c>
      <c r="C247" s="1" t="str">
        <f t="shared" si="6"/>
        <v>October</v>
      </c>
      <c r="D247" t="s">
        <v>25</v>
      </c>
      <c r="E247" t="s">
        <v>46</v>
      </c>
      <c r="F247" t="s">
        <v>44</v>
      </c>
      <c r="G247">
        <v>6</v>
      </c>
      <c r="H247">
        <v>2627.59</v>
      </c>
      <c r="I247" s="3">
        <v>0</v>
      </c>
      <c r="J247" t="s">
        <v>55</v>
      </c>
      <c r="K247" t="s">
        <v>17</v>
      </c>
      <c r="L247" t="s">
        <v>33</v>
      </c>
      <c r="M247">
        <v>15765.54</v>
      </c>
      <c r="N247" t="str">
        <f t="shared" si="7"/>
        <v>Medium</v>
      </c>
    </row>
    <row r="248" spans="1:14" x14ac:dyDescent="0.3">
      <c r="A248" t="s">
        <v>306</v>
      </c>
      <c r="B248" s="1">
        <v>45493</v>
      </c>
      <c r="C248" s="1" t="str">
        <f t="shared" si="6"/>
        <v>July</v>
      </c>
      <c r="D248" t="s">
        <v>38</v>
      </c>
      <c r="E248" t="s">
        <v>100</v>
      </c>
      <c r="F248" t="s">
        <v>53</v>
      </c>
      <c r="G248">
        <v>5</v>
      </c>
      <c r="H248">
        <v>2241.31</v>
      </c>
      <c r="I248" s="3">
        <v>0.15</v>
      </c>
      <c r="J248" t="s">
        <v>16</v>
      </c>
      <c r="K248" t="s">
        <v>29</v>
      </c>
      <c r="L248" t="s">
        <v>33</v>
      </c>
      <c r="M248">
        <v>9525.57</v>
      </c>
      <c r="N248" t="str">
        <f t="shared" si="7"/>
        <v>Low</v>
      </c>
    </row>
    <row r="249" spans="1:14" x14ac:dyDescent="0.3">
      <c r="A249" t="s">
        <v>307</v>
      </c>
      <c r="B249" s="1">
        <v>45584</v>
      </c>
      <c r="C249" s="1" t="str">
        <f t="shared" si="6"/>
        <v>October</v>
      </c>
      <c r="D249" t="s">
        <v>38</v>
      </c>
      <c r="E249" t="s">
        <v>100</v>
      </c>
      <c r="F249" t="s">
        <v>44</v>
      </c>
      <c r="G249">
        <v>2</v>
      </c>
      <c r="H249">
        <v>7995.38</v>
      </c>
      <c r="I249" s="3">
        <v>0</v>
      </c>
      <c r="J249" t="s">
        <v>28</v>
      </c>
      <c r="K249" t="s">
        <v>23</v>
      </c>
      <c r="L249" t="s">
        <v>33</v>
      </c>
      <c r="M249">
        <v>15990.76</v>
      </c>
      <c r="N249" t="str">
        <f t="shared" si="7"/>
        <v>Medium</v>
      </c>
    </row>
    <row r="250" spans="1:14" x14ac:dyDescent="0.3">
      <c r="A250" t="s">
        <v>308</v>
      </c>
      <c r="B250" s="1">
        <v>45456</v>
      </c>
      <c r="C250" s="1" t="str">
        <f t="shared" si="6"/>
        <v>June</v>
      </c>
      <c r="D250" t="s">
        <v>38</v>
      </c>
      <c r="E250" t="s">
        <v>164</v>
      </c>
      <c r="F250" t="s">
        <v>32</v>
      </c>
      <c r="G250">
        <v>4</v>
      </c>
      <c r="H250">
        <v>2989.84</v>
      </c>
      <c r="I250" s="3">
        <v>0.2</v>
      </c>
      <c r="J250" t="s">
        <v>16</v>
      </c>
      <c r="K250" t="s">
        <v>49</v>
      </c>
      <c r="L250" t="s">
        <v>33</v>
      </c>
      <c r="M250">
        <v>9567.49</v>
      </c>
      <c r="N250" t="str">
        <f t="shared" si="7"/>
        <v>Low</v>
      </c>
    </row>
    <row r="251" spans="1:14" x14ac:dyDescent="0.3">
      <c r="A251" t="s">
        <v>309</v>
      </c>
      <c r="B251" s="1">
        <v>45494</v>
      </c>
      <c r="C251" s="1" t="str">
        <f t="shared" si="6"/>
        <v>July</v>
      </c>
      <c r="D251" t="s">
        <v>38</v>
      </c>
      <c r="E251" t="s">
        <v>42</v>
      </c>
      <c r="F251" t="s">
        <v>27</v>
      </c>
      <c r="G251">
        <v>3</v>
      </c>
      <c r="H251">
        <v>7976.15</v>
      </c>
      <c r="I251" s="3">
        <v>0</v>
      </c>
      <c r="J251" t="s">
        <v>55</v>
      </c>
      <c r="K251" t="s">
        <v>40</v>
      </c>
      <c r="L251" t="s">
        <v>33</v>
      </c>
      <c r="M251">
        <v>23928.45</v>
      </c>
      <c r="N251" t="str">
        <f t="shared" si="7"/>
        <v>High</v>
      </c>
    </row>
    <row r="252" spans="1:14" x14ac:dyDescent="0.3">
      <c r="A252" t="s">
        <v>310</v>
      </c>
      <c r="B252" s="1">
        <v>45610</v>
      </c>
      <c r="C252" s="1" t="str">
        <f t="shared" si="6"/>
        <v>November</v>
      </c>
      <c r="D252" t="s">
        <v>13</v>
      </c>
      <c r="E252" t="s">
        <v>74</v>
      </c>
      <c r="F252" t="s">
        <v>1160</v>
      </c>
      <c r="G252">
        <v>3</v>
      </c>
      <c r="H252">
        <v>4258.58</v>
      </c>
      <c r="I252" s="3">
        <v>0.2</v>
      </c>
      <c r="J252" t="s">
        <v>16</v>
      </c>
      <c r="K252" t="s">
        <v>23</v>
      </c>
      <c r="L252" t="s">
        <v>33</v>
      </c>
      <c r="M252">
        <v>10220.59</v>
      </c>
      <c r="N252" t="str">
        <f t="shared" si="7"/>
        <v>Medium</v>
      </c>
    </row>
    <row r="253" spans="1:14" x14ac:dyDescent="0.3">
      <c r="A253" t="s">
        <v>311</v>
      </c>
      <c r="B253" s="1">
        <v>45422</v>
      </c>
      <c r="C253" s="1" t="str">
        <f t="shared" si="6"/>
        <v>May</v>
      </c>
      <c r="D253" t="s">
        <v>25</v>
      </c>
      <c r="E253" t="s">
        <v>46</v>
      </c>
      <c r="F253" t="s">
        <v>80</v>
      </c>
      <c r="G253">
        <v>2</v>
      </c>
      <c r="H253">
        <v>2233.42</v>
      </c>
      <c r="I253" s="3">
        <v>0.25</v>
      </c>
      <c r="J253" t="s">
        <v>16</v>
      </c>
      <c r="K253" t="s">
        <v>29</v>
      </c>
      <c r="L253" t="s">
        <v>33</v>
      </c>
      <c r="M253">
        <v>3350.13</v>
      </c>
      <c r="N253" t="str">
        <f t="shared" si="7"/>
        <v>Low</v>
      </c>
    </row>
    <row r="254" spans="1:14" x14ac:dyDescent="0.3">
      <c r="A254" t="s">
        <v>312</v>
      </c>
      <c r="B254" s="1">
        <v>45479</v>
      </c>
      <c r="C254" s="1" t="str">
        <f t="shared" si="6"/>
        <v>July</v>
      </c>
      <c r="D254" t="s">
        <v>35</v>
      </c>
      <c r="E254" t="s">
        <v>65</v>
      </c>
      <c r="F254" t="s">
        <v>15</v>
      </c>
      <c r="G254">
        <v>1</v>
      </c>
      <c r="H254">
        <v>5743.41</v>
      </c>
      <c r="I254" s="3">
        <v>0.1</v>
      </c>
      <c r="J254" t="s">
        <v>55</v>
      </c>
      <c r="K254" t="s">
        <v>49</v>
      </c>
      <c r="L254" t="s">
        <v>33</v>
      </c>
      <c r="M254">
        <v>5169.07</v>
      </c>
      <c r="N254" t="str">
        <f t="shared" si="7"/>
        <v>Low</v>
      </c>
    </row>
    <row r="255" spans="1:14" x14ac:dyDescent="0.3">
      <c r="A255" t="s">
        <v>313</v>
      </c>
      <c r="B255" s="1">
        <v>45324</v>
      </c>
      <c r="C255" s="1" t="str">
        <f t="shared" si="6"/>
        <v>February</v>
      </c>
      <c r="D255" t="s">
        <v>25</v>
      </c>
      <c r="E255" t="s">
        <v>26</v>
      </c>
      <c r="F255" t="s">
        <v>80</v>
      </c>
      <c r="G255">
        <v>6</v>
      </c>
      <c r="H255">
        <v>1744.56</v>
      </c>
      <c r="I255" s="3">
        <v>0</v>
      </c>
      <c r="J255" t="s">
        <v>16</v>
      </c>
      <c r="K255" t="s">
        <v>40</v>
      </c>
      <c r="L255" t="s">
        <v>18</v>
      </c>
      <c r="M255">
        <v>10467.36</v>
      </c>
      <c r="N255" t="str">
        <f t="shared" si="7"/>
        <v>Medium</v>
      </c>
    </row>
    <row r="256" spans="1:14" x14ac:dyDescent="0.3">
      <c r="A256" t="s">
        <v>314</v>
      </c>
      <c r="B256" s="1">
        <v>45528</v>
      </c>
      <c r="C256" s="1" t="str">
        <f t="shared" si="6"/>
        <v>August</v>
      </c>
      <c r="D256" t="s">
        <v>25</v>
      </c>
      <c r="E256" t="s">
        <v>94</v>
      </c>
      <c r="F256" t="s">
        <v>44</v>
      </c>
      <c r="G256">
        <v>6</v>
      </c>
      <c r="H256">
        <v>6740.7</v>
      </c>
      <c r="I256" s="3">
        <v>0.2</v>
      </c>
      <c r="J256" t="s">
        <v>55</v>
      </c>
      <c r="K256" t="s">
        <v>40</v>
      </c>
      <c r="L256" t="s">
        <v>33</v>
      </c>
      <c r="M256">
        <v>32355.360000000001</v>
      </c>
      <c r="N256" t="str">
        <f t="shared" si="7"/>
        <v>High</v>
      </c>
    </row>
    <row r="257" spans="1:14" x14ac:dyDescent="0.3">
      <c r="A257" t="s">
        <v>315</v>
      </c>
      <c r="B257" s="1">
        <v>45640</v>
      </c>
      <c r="C257" s="1" t="str">
        <f t="shared" si="6"/>
        <v>December</v>
      </c>
      <c r="D257" t="s">
        <v>20</v>
      </c>
      <c r="E257" t="s">
        <v>78</v>
      </c>
      <c r="F257" t="s">
        <v>32</v>
      </c>
      <c r="G257">
        <v>3</v>
      </c>
      <c r="H257">
        <v>4497.72</v>
      </c>
      <c r="I257" s="3">
        <v>0.2</v>
      </c>
      <c r="J257" t="s">
        <v>55</v>
      </c>
      <c r="K257" t="s">
        <v>40</v>
      </c>
      <c r="L257" t="s">
        <v>33</v>
      </c>
      <c r="M257">
        <v>10794.53</v>
      </c>
      <c r="N257" t="str">
        <f t="shared" si="7"/>
        <v>Medium</v>
      </c>
    </row>
    <row r="258" spans="1:14" x14ac:dyDescent="0.3">
      <c r="A258" t="s">
        <v>316</v>
      </c>
      <c r="B258" s="1">
        <v>45320</v>
      </c>
      <c r="C258" s="1" t="str">
        <f t="shared" ref="C258:C321" si="8">TEXT(B258,"mmmm")</f>
        <v>January</v>
      </c>
      <c r="D258" t="s">
        <v>35</v>
      </c>
      <c r="E258" t="s">
        <v>63</v>
      </c>
      <c r="F258" t="s">
        <v>44</v>
      </c>
      <c r="G258">
        <v>6</v>
      </c>
      <c r="H258">
        <v>1718.71</v>
      </c>
      <c r="I258" s="3">
        <v>0.15</v>
      </c>
      <c r="J258" t="s">
        <v>55</v>
      </c>
      <c r="K258" t="s">
        <v>23</v>
      </c>
      <c r="L258" t="s">
        <v>33</v>
      </c>
      <c r="M258">
        <v>8765.42</v>
      </c>
      <c r="N258" t="str">
        <f t="shared" ref="N258:N321" si="9">IF(M258&gt;20000,"High",IF(M258&gt;10000,"Medium","Low"))</f>
        <v>Low</v>
      </c>
    </row>
    <row r="259" spans="1:14" x14ac:dyDescent="0.3">
      <c r="A259" t="s">
        <v>317</v>
      </c>
      <c r="B259" s="1">
        <v>45463</v>
      </c>
      <c r="C259" s="1" t="str">
        <f t="shared" si="8"/>
        <v>June</v>
      </c>
      <c r="D259" t="s">
        <v>35</v>
      </c>
      <c r="E259" t="s">
        <v>63</v>
      </c>
      <c r="F259" t="s">
        <v>80</v>
      </c>
      <c r="G259">
        <v>2</v>
      </c>
      <c r="H259">
        <v>4218.0200000000004</v>
      </c>
      <c r="I259" s="3">
        <v>0</v>
      </c>
      <c r="J259" t="s">
        <v>16</v>
      </c>
      <c r="K259" t="s">
        <v>29</v>
      </c>
      <c r="L259" t="s">
        <v>33</v>
      </c>
      <c r="M259">
        <v>8436.0400000000009</v>
      </c>
      <c r="N259" t="str">
        <f t="shared" si="9"/>
        <v>Low</v>
      </c>
    </row>
    <row r="260" spans="1:14" x14ac:dyDescent="0.3">
      <c r="A260" t="s">
        <v>318</v>
      </c>
      <c r="B260" s="1">
        <v>45640</v>
      </c>
      <c r="C260" s="1" t="str">
        <f t="shared" si="8"/>
        <v>December</v>
      </c>
      <c r="D260" t="s">
        <v>25</v>
      </c>
      <c r="E260" t="s">
        <v>87</v>
      </c>
      <c r="F260" t="s">
        <v>15</v>
      </c>
      <c r="G260">
        <v>1</v>
      </c>
      <c r="H260">
        <v>2558.75</v>
      </c>
      <c r="I260" s="3">
        <v>0.1</v>
      </c>
      <c r="J260" t="s">
        <v>55</v>
      </c>
      <c r="K260" t="s">
        <v>40</v>
      </c>
      <c r="L260" t="s">
        <v>33</v>
      </c>
      <c r="M260">
        <v>2302.88</v>
      </c>
      <c r="N260" t="str">
        <f t="shared" si="9"/>
        <v>Low</v>
      </c>
    </row>
    <row r="261" spans="1:14" x14ac:dyDescent="0.3">
      <c r="A261" t="s">
        <v>319</v>
      </c>
      <c r="B261" s="1">
        <v>45628</v>
      </c>
      <c r="C261" s="1" t="str">
        <f t="shared" si="8"/>
        <v>December</v>
      </c>
      <c r="D261" t="s">
        <v>25</v>
      </c>
      <c r="E261" t="s">
        <v>46</v>
      </c>
      <c r="F261" t="s">
        <v>44</v>
      </c>
      <c r="G261">
        <v>4</v>
      </c>
      <c r="H261">
        <v>5722.51</v>
      </c>
      <c r="I261" s="3">
        <v>0.05</v>
      </c>
      <c r="J261" t="s">
        <v>16</v>
      </c>
      <c r="K261" t="s">
        <v>40</v>
      </c>
      <c r="L261" t="s">
        <v>33</v>
      </c>
      <c r="M261">
        <v>21745.54</v>
      </c>
      <c r="N261" t="str">
        <f t="shared" si="9"/>
        <v>High</v>
      </c>
    </row>
    <row r="262" spans="1:14" x14ac:dyDescent="0.3">
      <c r="A262" t="s">
        <v>320</v>
      </c>
      <c r="B262" s="1">
        <v>45501</v>
      </c>
      <c r="C262" s="1" t="str">
        <f t="shared" si="8"/>
        <v>July</v>
      </c>
      <c r="D262" t="s">
        <v>35</v>
      </c>
      <c r="E262" t="s">
        <v>36</v>
      </c>
      <c r="F262" t="s">
        <v>53</v>
      </c>
      <c r="G262">
        <v>5</v>
      </c>
      <c r="H262">
        <v>6613.59</v>
      </c>
      <c r="I262" s="3">
        <v>0</v>
      </c>
      <c r="J262" t="s">
        <v>16</v>
      </c>
      <c r="K262" t="s">
        <v>49</v>
      </c>
      <c r="L262" t="s">
        <v>33</v>
      </c>
      <c r="M262">
        <v>33067.949999999997</v>
      </c>
      <c r="N262" t="str">
        <f t="shared" si="9"/>
        <v>High</v>
      </c>
    </row>
    <row r="263" spans="1:14" x14ac:dyDescent="0.3">
      <c r="A263" t="s">
        <v>321</v>
      </c>
      <c r="B263" s="1">
        <v>45396</v>
      </c>
      <c r="C263" s="1" t="str">
        <f t="shared" si="8"/>
        <v>April</v>
      </c>
      <c r="D263" t="s">
        <v>38</v>
      </c>
      <c r="E263" t="s">
        <v>39</v>
      </c>
      <c r="F263" t="s">
        <v>1160</v>
      </c>
      <c r="G263">
        <v>1</v>
      </c>
      <c r="H263">
        <v>1564.06</v>
      </c>
      <c r="I263" s="3">
        <v>0</v>
      </c>
      <c r="J263" t="s">
        <v>16</v>
      </c>
      <c r="K263" t="s">
        <v>40</v>
      </c>
      <c r="L263" t="s">
        <v>33</v>
      </c>
      <c r="M263">
        <v>1564.06</v>
      </c>
      <c r="N263" t="str">
        <f t="shared" si="9"/>
        <v>Low</v>
      </c>
    </row>
    <row r="264" spans="1:14" x14ac:dyDescent="0.3">
      <c r="A264" t="s">
        <v>322</v>
      </c>
      <c r="B264" s="1">
        <v>45400</v>
      </c>
      <c r="C264" s="1" t="str">
        <f t="shared" si="8"/>
        <v>April</v>
      </c>
      <c r="D264" t="s">
        <v>38</v>
      </c>
      <c r="E264" t="s">
        <v>164</v>
      </c>
      <c r="F264" t="s">
        <v>27</v>
      </c>
      <c r="G264">
        <v>5</v>
      </c>
      <c r="H264">
        <v>6730.68</v>
      </c>
      <c r="I264" s="3">
        <v>0.05</v>
      </c>
      <c r="J264" t="s">
        <v>22</v>
      </c>
      <c r="K264" t="s">
        <v>40</v>
      </c>
      <c r="L264" t="s">
        <v>33</v>
      </c>
      <c r="M264">
        <v>31970.73</v>
      </c>
      <c r="N264" t="str">
        <f t="shared" si="9"/>
        <v>High</v>
      </c>
    </row>
    <row r="265" spans="1:14" x14ac:dyDescent="0.3">
      <c r="A265" t="s">
        <v>323</v>
      </c>
      <c r="B265" s="1">
        <v>45643</v>
      </c>
      <c r="C265" s="1" t="str">
        <f t="shared" si="8"/>
        <v>December</v>
      </c>
      <c r="D265" t="s">
        <v>20</v>
      </c>
      <c r="E265" t="s">
        <v>59</v>
      </c>
      <c r="F265" t="s">
        <v>44</v>
      </c>
      <c r="G265">
        <v>4</v>
      </c>
      <c r="H265">
        <v>1365.47</v>
      </c>
      <c r="I265" s="3">
        <v>0</v>
      </c>
      <c r="J265" t="s">
        <v>22</v>
      </c>
      <c r="K265" t="s">
        <v>49</v>
      </c>
      <c r="L265" t="s">
        <v>33</v>
      </c>
      <c r="M265">
        <v>5461.88</v>
      </c>
      <c r="N265" t="str">
        <f t="shared" si="9"/>
        <v>Low</v>
      </c>
    </row>
    <row r="266" spans="1:14" x14ac:dyDescent="0.3">
      <c r="A266" t="s">
        <v>324</v>
      </c>
      <c r="B266" s="1">
        <v>45424</v>
      </c>
      <c r="C266" s="1" t="str">
        <f t="shared" si="8"/>
        <v>May</v>
      </c>
      <c r="D266" t="s">
        <v>25</v>
      </c>
      <c r="E266" t="s">
        <v>26</v>
      </c>
      <c r="F266" t="s">
        <v>27</v>
      </c>
      <c r="G266">
        <v>3</v>
      </c>
      <c r="H266">
        <v>4457.54</v>
      </c>
      <c r="I266" s="3">
        <v>0.1</v>
      </c>
      <c r="J266" t="s">
        <v>16</v>
      </c>
      <c r="K266" t="s">
        <v>29</v>
      </c>
      <c r="L266" t="s">
        <v>33</v>
      </c>
      <c r="M266">
        <v>12035.36</v>
      </c>
      <c r="N266" t="str">
        <f t="shared" si="9"/>
        <v>Medium</v>
      </c>
    </row>
    <row r="267" spans="1:14" x14ac:dyDescent="0.3">
      <c r="A267" t="s">
        <v>325</v>
      </c>
      <c r="B267" s="1">
        <v>45627</v>
      </c>
      <c r="C267" s="1" t="str">
        <f t="shared" si="8"/>
        <v>December</v>
      </c>
      <c r="D267" t="s">
        <v>20</v>
      </c>
      <c r="E267" t="s">
        <v>59</v>
      </c>
      <c r="F267" t="s">
        <v>1160</v>
      </c>
      <c r="G267">
        <v>5</v>
      </c>
      <c r="H267">
        <v>5599.41</v>
      </c>
      <c r="I267" s="3">
        <v>0.1</v>
      </c>
      <c r="J267" t="s">
        <v>55</v>
      </c>
      <c r="K267" t="s">
        <v>40</v>
      </c>
      <c r="L267" t="s">
        <v>33</v>
      </c>
      <c r="M267">
        <v>25197.35</v>
      </c>
      <c r="N267" t="str">
        <f t="shared" si="9"/>
        <v>High</v>
      </c>
    </row>
    <row r="268" spans="1:14" x14ac:dyDescent="0.3">
      <c r="A268" t="s">
        <v>326</v>
      </c>
      <c r="B268" s="1">
        <v>45440</v>
      </c>
      <c r="C268" s="1" t="str">
        <f t="shared" si="8"/>
        <v>May</v>
      </c>
      <c r="D268" t="s">
        <v>35</v>
      </c>
      <c r="E268" t="s">
        <v>63</v>
      </c>
      <c r="F268" t="s">
        <v>53</v>
      </c>
      <c r="G268">
        <v>4</v>
      </c>
      <c r="H268">
        <v>2881.4</v>
      </c>
      <c r="I268" s="3">
        <v>0.25</v>
      </c>
      <c r="J268" t="s">
        <v>16</v>
      </c>
      <c r="K268" t="s">
        <v>40</v>
      </c>
      <c r="L268" t="s">
        <v>33</v>
      </c>
      <c r="M268">
        <v>8644.2000000000007</v>
      </c>
      <c r="N268" t="str">
        <f t="shared" si="9"/>
        <v>Low</v>
      </c>
    </row>
    <row r="269" spans="1:14" x14ac:dyDescent="0.3">
      <c r="A269" t="s">
        <v>327</v>
      </c>
      <c r="B269" s="1">
        <v>45408</v>
      </c>
      <c r="C269" s="1" t="str">
        <f t="shared" si="8"/>
        <v>April</v>
      </c>
      <c r="D269" t="s">
        <v>20</v>
      </c>
      <c r="E269" t="s">
        <v>78</v>
      </c>
      <c r="F269" t="s">
        <v>27</v>
      </c>
      <c r="G269">
        <v>5</v>
      </c>
      <c r="H269">
        <v>7408.16</v>
      </c>
      <c r="I269" s="3">
        <v>0</v>
      </c>
      <c r="J269" t="s">
        <v>28</v>
      </c>
      <c r="K269" t="s">
        <v>29</v>
      </c>
      <c r="L269" t="s">
        <v>18</v>
      </c>
      <c r="M269">
        <v>37040.800000000003</v>
      </c>
      <c r="N269" t="str">
        <f t="shared" si="9"/>
        <v>High</v>
      </c>
    </row>
    <row r="270" spans="1:14" x14ac:dyDescent="0.3">
      <c r="A270" t="s">
        <v>328</v>
      </c>
      <c r="B270" s="1">
        <v>45522</v>
      </c>
      <c r="C270" s="1" t="str">
        <f t="shared" si="8"/>
        <v>August</v>
      </c>
      <c r="D270" t="s">
        <v>20</v>
      </c>
      <c r="E270" t="s">
        <v>59</v>
      </c>
      <c r="F270" t="s">
        <v>80</v>
      </c>
      <c r="G270">
        <v>4</v>
      </c>
      <c r="H270">
        <v>2092.06</v>
      </c>
      <c r="I270" s="3">
        <v>0.15</v>
      </c>
      <c r="J270" t="s">
        <v>16</v>
      </c>
      <c r="K270" t="s">
        <v>17</v>
      </c>
      <c r="L270" t="s">
        <v>18</v>
      </c>
      <c r="M270">
        <v>7113</v>
      </c>
      <c r="N270" t="str">
        <f t="shared" si="9"/>
        <v>Low</v>
      </c>
    </row>
    <row r="271" spans="1:14" x14ac:dyDescent="0.3">
      <c r="A271" t="s">
        <v>329</v>
      </c>
      <c r="B271" s="1">
        <v>45596</v>
      </c>
      <c r="C271" s="1" t="str">
        <f t="shared" si="8"/>
        <v>October</v>
      </c>
      <c r="D271" t="s">
        <v>25</v>
      </c>
      <c r="E271" t="s">
        <v>31</v>
      </c>
      <c r="F271" t="s">
        <v>47</v>
      </c>
      <c r="G271">
        <v>4</v>
      </c>
      <c r="H271">
        <v>3771.97</v>
      </c>
      <c r="I271" s="3">
        <v>0</v>
      </c>
      <c r="J271" t="s">
        <v>16</v>
      </c>
      <c r="K271" t="s">
        <v>49</v>
      </c>
      <c r="L271" t="s">
        <v>33</v>
      </c>
      <c r="M271">
        <v>15087.88</v>
      </c>
      <c r="N271" t="str">
        <f t="shared" si="9"/>
        <v>Medium</v>
      </c>
    </row>
    <row r="272" spans="1:14" x14ac:dyDescent="0.3">
      <c r="A272" t="s">
        <v>330</v>
      </c>
      <c r="B272" s="1">
        <v>45476</v>
      </c>
      <c r="C272" s="1" t="str">
        <f t="shared" si="8"/>
        <v>July</v>
      </c>
      <c r="D272" t="s">
        <v>35</v>
      </c>
      <c r="E272" t="s">
        <v>97</v>
      </c>
      <c r="F272" t="s">
        <v>47</v>
      </c>
      <c r="G272">
        <v>2</v>
      </c>
      <c r="H272">
        <v>5352.55</v>
      </c>
      <c r="I272" s="3">
        <v>0</v>
      </c>
      <c r="J272" t="s">
        <v>16</v>
      </c>
      <c r="K272" t="s">
        <v>29</v>
      </c>
      <c r="L272" t="s">
        <v>18</v>
      </c>
      <c r="M272">
        <v>10705.1</v>
      </c>
      <c r="N272" t="str">
        <f t="shared" si="9"/>
        <v>Medium</v>
      </c>
    </row>
    <row r="273" spans="1:14" x14ac:dyDescent="0.3">
      <c r="A273" t="s">
        <v>331</v>
      </c>
      <c r="B273" s="1">
        <v>45370</v>
      </c>
      <c r="C273" s="1" t="str">
        <f t="shared" si="8"/>
        <v>March</v>
      </c>
      <c r="D273" t="s">
        <v>35</v>
      </c>
      <c r="E273" t="s">
        <v>63</v>
      </c>
      <c r="F273" t="s">
        <v>53</v>
      </c>
      <c r="G273">
        <v>4</v>
      </c>
      <c r="H273">
        <v>2273.1799999999998</v>
      </c>
      <c r="I273" s="3">
        <v>0</v>
      </c>
      <c r="J273" t="s">
        <v>16</v>
      </c>
      <c r="K273" t="s">
        <v>29</v>
      </c>
      <c r="L273" t="s">
        <v>33</v>
      </c>
      <c r="M273">
        <v>9092.7199999999993</v>
      </c>
      <c r="N273" t="str">
        <f t="shared" si="9"/>
        <v>Low</v>
      </c>
    </row>
    <row r="274" spans="1:14" x14ac:dyDescent="0.3">
      <c r="A274" t="s">
        <v>332</v>
      </c>
      <c r="B274" s="1">
        <v>45357</v>
      </c>
      <c r="C274" s="1" t="str">
        <f t="shared" si="8"/>
        <v>March</v>
      </c>
      <c r="D274" t="s">
        <v>13</v>
      </c>
      <c r="E274" t="s">
        <v>74</v>
      </c>
      <c r="F274" t="s">
        <v>1160</v>
      </c>
      <c r="G274">
        <v>2</v>
      </c>
      <c r="H274">
        <v>5853.66</v>
      </c>
      <c r="I274" s="3">
        <v>0.1</v>
      </c>
      <c r="J274" t="s">
        <v>16</v>
      </c>
      <c r="K274" t="s">
        <v>49</v>
      </c>
      <c r="L274" t="s">
        <v>33</v>
      </c>
      <c r="M274">
        <v>10536.59</v>
      </c>
      <c r="N274" t="str">
        <f t="shared" si="9"/>
        <v>Medium</v>
      </c>
    </row>
    <row r="275" spans="1:14" x14ac:dyDescent="0.3">
      <c r="A275" t="s">
        <v>333</v>
      </c>
      <c r="B275" s="1">
        <v>45370</v>
      </c>
      <c r="C275" s="1" t="str">
        <f t="shared" si="8"/>
        <v>March</v>
      </c>
      <c r="D275" t="s">
        <v>20</v>
      </c>
      <c r="E275" t="s">
        <v>21</v>
      </c>
      <c r="F275" t="s">
        <v>47</v>
      </c>
      <c r="G275">
        <v>3</v>
      </c>
      <c r="H275">
        <v>7985.54</v>
      </c>
      <c r="I275" s="3">
        <v>0.2</v>
      </c>
      <c r="J275" t="s">
        <v>55</v>
      </c>
      <c r="K275" t="s">
        <v>49</v>
      </c>
      <c r="L275" t="s">
        <v>33</v>
      </c>
      <c r="M275">
        <v>19165.3</v>
      </c>
      <c r="N275" t="str">
        <f t="shared" si="9"/>
        <v>Medium</v>
      </c>
    </row>
    <row r="276" spans="1:14" x14ac:dyDescent="0.3">
      <c r="A276" t="s">
        <v>334</v>
      </c>
      <c r="B276" s="1">
        <v>45417</v>
      </c>
      <c r="C276" s="1" t="str">
        <f t="shared" si="8"/>
        <v>May</v>
      </c>
      <c r="D276" t="s">
        <v>20</v>
      </c>
      <c r="E276" t="s">
        <v>61</v>
      </c>
      <c r="F276" t="s">
        <v>32</v>
      </c>
      <c r="G276">
        <v>1</v>
      </c>
      <c r="H276">
        <v>4853.55</v>
      </c>
      <c r="I276" s="3">
        <v>0</v>
      </c>
      <c r="J276" t="s">
        <v>16</v>
      </c>
      <c r="K276" t="s">
        <v>40</v>
      </c>
      <c r="L276" t="s">
        <v>33</v>
      </c>
      <c r="M276">
        <v>4853.55</v>
      </c>
      <c r="N276" t="str">
        <f t="shared" si="9"/>
        <v>Low</v>
      </c>
    </row>
    <row r="277" spans="1:14" x14ac:dyDescent="0.3">
      <c r="A277" t="s">
        <v>335</v>
      </c>
      <c r="B277" s="1">
        <v>45454</v>
      </c>
      <c r="C277" s="1" t="str">
        <f t="shared" si="8"/>
        <v>June</v>
      </c>
      <c r="D277" t="s">
        <v>25</v>
      </c>
      <c r="E277" t="s">
        <v>26</v>
      </c>
      <c r="F277" t="s">
        <v>32</v>
      </c>
      <c r="G277">
        <v>4</v>
      </c>
      <c r="H277">
        <v>6324.83</v>
      </c>
      <c r="I277" s="3">
        <v>0</v>
      </c>
      <c r="J277" t="s">
        <v>16</v>
      </c>
      <c r="K277" t="s">
        <v>29</v>
      </c>
      <c r="L277" t="s">
        <v>33</v>
      </c>
      <c r="M277">
        <v>25299.32</v>
      </c>
      <c r="N277" t="str">
        <f t="shared" si="9"/>
        <v>High</v>
      </c>
    </row>
    <row r="278" spans="1:14" x14ac:dyDescent="0.3">
      <c r="A278" t="s">
        <v>336</v>
      </c>
      <c r="B278" s="1">
        <v>45643</v>
      </c>
      <c r="C278" s="1" t="str">
        <f t="shared" si="8"/>
        <v>December</v>
      </c>
      <c r="D278" t="s">
        <v>20</v>
      </c>
      <c r="E278" t="s">
        <v>61</v>
      </c>
      <c r="F278" t="s">
        <v>1160</v>
      </c>
      <c r="G278">
        <v>3</v>
      </c>
      <c r="H278">
        <v>5712.49</v>
      </c>
      <c r="I278" s="3">
        <v>0</v>
      </c>
      <c r="J278" t="s">
        <v>16</v>
      </c>
      <c r="K278" t="s">
        <v>40</v>
      </c>
      <c r="L278" t="s">
        <v>18</v>
      </c>
      <c r="M278">
        <v>17137.47</v>
      </c>
      <c r="N278" t="str">
        <f t="shared" si="9"/>
        <v>Medium</v>
      </c>
    </row>
    <row r="279" spans="1:14" x14ac:dyDescent="0.3">
      <c r="A279" t="s">
        <v>337</v>
      </c>
      <c r="B279" s="1">
        <v>45502</v>
      </c>
      <c r="C279" s="1" t="str">
        <f t="shared" si="8"/>
        <v>July</v>
      </c>
      <c r="D279" t="s">
        <v>20</v>
      </c>
      <c r="E279" t="s">
        <v>21</v>
      </c>
      <c r="F279" t="s">
        <v>80</v>
      </c>
      <c r="G279">
        <v>1</v>
      </c>
      <c r="H279">
        <v>5259.93</v>
      </c>
      <c r="I279" s="3">
        <v>0.15</v>
      </c>
      <c r="J279" t="s">
        <v>28</v>
      </c>
      <c r="K279" t="s">
        <v>23</v>
      </c>
      <c r="L279" t="s">
        <v>33</v>
      </c>
      <c r="M279">
        <v>4470.9399999999996</v>
      </c>
      <c r="N279" t="str">
        <f t="shared" si="9"/>
        <v>Low</v>
      </c>
    </row>
    <row r="280" spans="1:14" x14ac:dyDescent="0.3">
      <c r="A280" t="s">
        <v>338</v>
      </c>
      <c r="B280" s="1">
        <v>45640</v>
      </c>
      <c r="C280" s="1" t="str">
        <f t="shared" si="8"/>
        <v>December</v>
      </c>
      <c r="D280" t="s">
        <v>13</v>
      </c>
      <c r="E280" t="s">
        <v>76</v>
      </c>
      <c r="F280" t="s">
        <v>44</v>
      </c>
      <c r="G280">
        <v>5</v>
      </c>
      <c r="H280">
        <v>1443.09</v>
      </c>
      <c r="I280" s="3">
        <v>0.2</v>
      </c>
      <c r="J280" t="s">
        <v>22</v>
      </c>
      <c r="K280" t="s">
        <v>49</v>
      </c>
      <c r="L280" t="s">
        <v>18</v>
      </c>
      <c r="M280">
        <v>5772.36</v>
      </c>
      <c r="N280" t="str">
        <f t="shared" si="9"/>
        <v>Low</v>
      </c>
    </row>
    <row r="281" spans="1:14" x14ac:dyDescent="0.3">
      <c r="A281" t="s">
        <v>339</v>
      </c>
      <c r="B281" s="1">
        <v>45414</v>
      </c>
      <c r="C281" s="1" t="str">
        <f t="shared" si="8"/>
        <v>May</v>
      </c>
      <c r="D281" t="s">
        <v>35</v>
      </c>
      <c r="E281" t="s">
        <v>97</v>
      </c>
      <c r="F281" t="s">
        <v>1160</v>
      </c>
      <c r="G281">
        <v>2</v>
      </c>
      <c r="H281">
        <v>4762.8599999999997</v>
      </c>
      <c r="I281" s="3">
        <v>0.1</v>
      </c>
      <c r="J281" t="s">
        <v>55</v>
      </c>
      <c r="K281" t="s">
        <v>17</v>
      </c>
      <c r="L281" t="s">
        <v>33</v>
      </c>
      <c r="M281">
        <v>8573.15</v>
      </c>
      <c r="N281" t="str">
        <f t="shared" si="9"/>
        <v>Low</v>
      </c>
    </row>
    <row r="282" spans="1:14" x14ac:dyDescent="0.3">
      <c r="A282" t="s">
        <v>340</v>
      </c>
      <c r="B282" s="1">
        <v>45408</v>
      </c>
      <c r="C282" s="1" t="str">
        <f t="shared" si="8"/>
        <v>April</v>
      </c>
      <c r="D282" t="s">
        <v>38</v>
      </c>
      <c r="E282" t="s">
        <v>39</v>
      </c>
      <c r="F282" t="s">
        <v>53</v>
      </c>
      <c r="G282">
        <v>6</v>
      </c>
      <c r="H282">
        <v>5424.68</v>
      </c>
      <c r="I282" s="3">
        <v>0.15</v>
      </c>
      <c r="J282" t="s">
        <v>22</v>
      </c>
      <c r="K282" t="s">
        <v>17</v>
      </c>
      <c r="L282" t="s">
        <v>18</v>
      </c>
      <c r="M282">
        <f>Orders[[#This Row],[Quantity]]*Orders[[#This Row],[UnitPrice]]-Orders[[#This Row],[Discount%]]</f>
        <v>32547.93</v>
      </c>
      <c r="N282" t="str">
        <f t="shared" si="9"/>
        <v>High</v>
      </c>
    </row>
    <row r="283" spans="1:14" x14ac:dyDescent="0.3">
      <c r="A283" t="s">
        <v>341</v>
      </c>
      <c r="B283" s="1">
        <v>45502</v>
      </c>
      <c r="C283" s="1" t="str">
        <f t="shared" si="8"/>
        <v>July</v>
      </c>
      <c r="D283" t="s">
        <v>35</v>
      </c>
      <c r="E283" t="s">
        <v>65</v>
      </c>
      <c r="F283" t="s">
        <v>15</v>
      </c>
      <c r="G283">
        <v>5</v>
      </c>
      <c r="H283">
        <v>2500.75</v>
      </c>
      <c r="I283" s="3">
        <v>0.05</v>
      </c>
      <c r="J283" t="s">
        <v>16</v>
      </c>
      <c r="K283" t="s">
        <v>40</v>
      </c>
      <c r="L283" t="s">
        <v>33</v>
      </c>
      <c r="M283">
        <v>11878.56</v>
      </c>
      <c r="N283" t="str">
        <f t="shared" si="9"/>
        <v>Medium</v>
      </c>
    </row>
    <row r="284" spans="1:14" x14ac:dyDescent="0.3">
      <c r="A284" t="s">
        <v>342</v>
      </c>
      <c r="B284" s="1">
        <v>45387</v>
      </c>
      <c r="C284" s="1" t="str">
        <f t="shared" si="8"/>
        <v>April</v>
      </c>
      <c r="D284" t="s">
        <v>13</v>
      </c>
      <c r="E284" t="s">
        <v>76</v>
      </c>
      <c r="F284" t="s">
        <v>27</v>
      </c>
      <c r="G284">
        <v>6</v>
      </c>
      <c r="H284">
        <v>7133.01</v>
      </c>
      <c r="I284" s="3">
        <v>0.2</v>
      </c>
      <c r="J284" t="s">
        <v>22</v>
      </c>
      <c r="K284" t="s">
        <v>17</v>
      </c>
      <c r="L284" t="s">
        <v>33</v>
      </c>
      <c r="M284">
        <v>34238.449999999997</v>
      </c>
      <c r="N284" t="str">
        <f t="shared" si="9"/>
        <v>High</v>
      </c>
    </row>
    <row r="285" spans="1:14" x14ac:dyDescent="0.3">
      <c r="A285" t="s">
        <v>343</v>
      </c>
      <c r="B285" s="1">
        <v>45369</v>
      </c>
      <c r="C285" s="1" t="str">
        <f t="shared" si="8"/>
        <v>March</v>
      </c>
      <c r="D285" t="s">
        <v>38</v>
      </c>
      <c r="E285" t="s">
        <v>100</v>
      </c>
      <c r="F285" t="s">
        <v>80</v>
      </c>
      <c r="G285">
        <v>3</v>
      </c>
      <c r="H285">
        <v>1464.22</v>
      </c>
      <c r="I285" s="3">
        <v>0.15</v>
      </c>
      <c r="J285" t="s">
        <v>28</v>
      </c>
      <c r="K285" t="s">
        <v>49</v>
      </c>
      <c r="L285" t="s">
        <v>33</v>
      </c>
      <c r="M285">
        <v>3733.76</v>
      </c>
      <c r="N285" t="str">
        <f t="shared" si="9"/>
        <v>Low</v>
      </c>
    </row>
    <row r="286" spans="1:14" x14ac:dyDescent="0.3">
      <c r="A286" t="s">
        <v>344</v>
      </c>
      <c r="B286" s="1">
        <v>45292</v>
      </c>
      <c r="C286" s="1" t="str">
        <f t="shared" si="8"/>
        <v>January</v>
      </c>
      <c r="D286" t="s">
        <v>20</v>
      </c>
      <c r="E286" t="s">
        <v>78</v>
      </c>
      <c r="F286" t="s">
        <v>32</v>
      </c>
      <c r="G286">
        <v>2</v>
      </c>
      <c r="H286">
        <v>964.37</v>
      </c>
      <c r="I286" s="3">
        <v>0.1</v>
      </c>
      <c r="J286" t="s">
        <v>55</v>
      </c>
      <c r="K286" t="s">
        <v>49</v>
      </c>
      <c r="L286" t="s">
        <v>33</v>
      </c>
      <c r="M286">
        <v>1735.87</v>
      </c>
      <c r="N286" t="str">
        <f t="shared" si="9"/>
        <v>Low</v>
      </c>
    </row>
    <row r="287" spans="1:14" x14ac:dyDescent="0.3">
      <c r="A287" t="s">
        <v>345</v>
      </c>
      <c r="B287" s="1">
        <v>45330</v>
      </c>
      <c r="C287" s="1" t="str">
        <f t="shared" si="8"/>
        <v>February</v>
      </c>
      <c r="D287" t="s">
        <v>20</v>
      </c>
      <c r="E287" t="s">
        <v>59</v>
      </c>
      <c r="F287" t="s">
        <v>15</v>
      </c>
      <c r="G287">
        <v>5</v>
      </c>
      <c r="H287">
        <v>5048.54</v>
      </c>
      <c r="I287" s="3">
        <v>0.25</v>
      </c>
      <c r="J287" t="s">
        <v>16</v>
      </c>
      <c r="K287" t="s">
        <v>17</v>
      </c>
      <c r="L287" t="s">
        <v>18</v>
      </c>
      <c r="M287">
        <v>18932.03</v>
      </c>
      <c r="N287" t="str">
        <f t="shared" si="9"/>
        <v>Medium</v>
      </c>
    </row>
    <row r="288" spans="1:14" x14ac:dyDescent="0.3">
      <c r="A288" t="s">
        <v>346</v>
      </c>
      <c r="B288" s="1">
        <v>45646</v>
      </c>
      <c r="C288" s="1" t="str">
        <f t="shared" si="8"/>
        <v>December</v>
      </c>
      <c r="D288" t="s">
        <v>38</v>
      </c>
      <c r="E288" t="s">
        <v>39</v>
      </c>
      <c r="F288" t="s">
        <v>80</v>
      </c>
      <c r="G288">
        <v>1</v>
      </c>
      <c r="H288">
        <v>597.29</v>
      </c>
      <c r="I288" s="3">
        <v>0</v>
      </c>
      <c r="J288" t="s">
        <v>28</v>
      </c>
      <c r="K288" t="s">
        <v>49</v>
      </c>
      <c r="L288" t="s">
        <v>33</v>
      </c>
      <c r="M288">
        <v>597.29</v>
      </c>
      <c r="N288" t="str">
        <f t="shared" si="9"/>
        <v>Low</v>
      </c>
    </row>
    <row r="289" spans="1:14" x14ac:dyDescent="0.3">
      <c r="A289" t="s">
        <v>347</v>
      </c>
      <c r="B289" s="1">
        <v>45362</v>
      </c>
      <c r="C289" s="1" t="str">
        <f t="shared" si="8"/>
        <v>March</v>
      </c>
      <c r="D289" t="s">
        <v>35</v>
      </c>
      <c r="E289" t="s">
        <v>97</v>
      </c>
      <c r="F289" t="s">
        <v>44</v>
      </c>
      <c r="G289">
        <v>1</v>
      </c>
      <c r="H289">
        <v>7630.86</v>
      </c>
      <c r="I289" s="3">
        <v>0.1</v>
      </c>
      <c r="J289" t="s">
        <v>16</v>
      </c>
      <c r="K289" t="s">
        <v>23</v>
      </c>
      <c r="L289" t="s">
        <v>33</v>
      </c>
      <c r="M289">
        <v>6867.77</v>
      </c>
      <c r="N289" t="str">
        <f t="shared" si="9"/>
        <v>Low</v>
      </c>
    </row>
    <row r="290" spans="1:14" x14ac:dyDescent="0.3">
      <c r="A290" t="s">
        <v>348</v>
      </c>
      <c r="B290" s="1">
        <v>45507</v>
      </c>
      <c r="C290" s="1" t="str">
        <f t="shared" si="8"/>
        <v>August</v>
      </c>
      <c r="D290" t="s">
        <v>20</v>
      </c>
      <c r="E290" t="s">
        <v>59</v>
      </c>
      <c r="F290" t="s">
        <v>32</v>
      </c>
      <c r="G290">
        <v>5</v>
      </c>
      <c r="H290">
        <v>7828.49</v>
      </c>
      <c r="I290" s="3">
        <v>0</v>
      </c>
      <c r="J290" t="s">
        <v>22</v>
      </c>
      <c r="K290" t="s">
        <v>29</v>
      </c>
      <c r="L290" t="s">
        <v>33</v>
      </c>
      <c r="M290">
        <v>39142.449999999997</v>
      </c>
      <c r="N290" t="str">
        <f t="shared" si="9"/>
        <v>High</v>
      </c>
    </row>
    <row r="291" spans="1:14" x14ac:dyDescent="0.3">
      <c r="A291" t="s">
        <v>349</v>
      </c>
      <c r="B291" s="1">
        <v>45316</v>
      </c>
      <c r="C291" s="1" t="str">
        <f t="shared" si="8"/>
        <v>January</v>
      </c>
      <c r="D291" t="s">
        <v>20</v>
      </c>
      <c r="E291" t="s">
        <v>57</v>
      </c>
      <c r="F291" t="s">
        <v>44</v>
      </c>
      <c r="G291">
        <v>5</v>
      </c>
      <c r="H291">
        <v>2875.87</v>
      </c>
      <c r="I291" s="3">
        <v>0.05</v>
      </c>
      <c r="J291" t="s">
        <v>16</v>
      </c>
      <c r="K291" t="s">
        <v>23</v>
      </c>
      <c r="L291" t="s">
        <v>33</v>
      </c>
      <c r="M291">
        <v>13660.38</v>
      </c>
      <c r="N291" t="str">
        <f t="shared" si="9"/>
        <v>Medium</v>
      </c>
    </row>
    <row r="292" spans="1:14" x14ac:dyDescent="0.3">
      <c r="A292" t="s">
        <v>350</v>
      </c>
      <c r="B292" s="1">
        <v>45488</v>
      </c>
      <c r="C292" s="1" t="str">
        <f t="shared" si="8"/>
        <v>July</v>
      </c>
      <c r="D292" t="s">
        <v>35</v>
      </c>
      <c r="E292" t="s">
        <v>36</v>
      </c>
      <c r="F292" t="s">
        <v>27</v>
      </c>
      <c r="G292">
        <v>3</v>
      </c>
      <c r="H292">
        <v>7702.69</v>
      </c>
      <c r="I292" s="3">
        <v>0.05</v>
      </c>
      <c r="J292" t="s">
        <v>16</v>
      </c>
      <c r="K292" t="s">
        <v>17</v>
      </c>
      <c r="L292" t="s">
        <v>33</v>
      </c>
      <c r="M292">
        <v>21952.67</v>
      </c>
      <c r="N292" t="str">
        <f t="shared" si="9"/>
        <v>High</v>
      </c>
    </row>
    <row r="293" spans="1:14" x14ac:dyDescent="0.3">
      <c r="A293" t="s">
        <v>351</v>
      </c>
      <c r="B293" s="1">
        <v>45493</v>
      </c>
      <c r="C293" s="1" t="str">
        <f t="shared" si="8"/>
        <v>July</v>
      </c>
      <c r="D293" t="s">
        <v>35</v>
      </c>
      <c r="E293" t="s">
        <v>97</v>
      </c>
      <c r="F293" t="s">
        <v>80</v>
      </c>
      <c r="G293">
        <v>3</v>
      </c>
      <c r="H293">
        <v>3176.31</v>
      </c>
      <c r="I293" s="3">
        <v>0.25</v>
      </c>
      <c r="J293" t="s">
        <v>16</v>
      </c>
      <c r="K293" t="s">
        <v>17</v>
      </c>
      <c r="L293" t="s">
        <v>33</v>
      </c>
      <c r="M293">
        <v>7146.7</v>
      </c>
      <c r="N293" t="str">
        <f t="shared" si="9"/>
        <v>Low</v>
      </c>
    </row>
    <row r="294" spans="1:14" x14ac:dyDescent="0.3">
      <c r="A294" t="s">
        <v>352</v>
      </c>
      <c r="B294" s="1">
        <v>45434</v>
      </c>
      <c r="C294" s="1" t="str">
        <f t="shared" si="8"/>
        <v>May</v>
      </c>
      <c r="D294" t="s">
        <v>13</v>
      </c>
      <c r="E294" t="s">
        <v>76</v>
      </c>
      <c r="F294" t="s">
        <v>47</v>
      </c>
      <c r="G294">
        <v>5</v>
      </c>
      <c r="H294">
        <v>3841.22</v>
      </c>
      <c r="I294" s="3">
        <v>0.2</v>
      </c>
      <c r="J294" t="s">
        <v>16</v>
      </c>
      <c r="K294" t="s">
        <v>29</v>
      </c>
      <c r="L294" t="s">
        <v>18</v>
      </c>
      <c r="M294">
        <v>15364.88</v>
      </c>
      <c r="N294" t="str">
        <f t="shared" si="9"/>
        <v>Medium</v>
      </c>
    </row>
    <row r="295" spans="1:14" x14ac:dyDescent="0.3">
      <c r="A295" t="s">
        <v>353</v>
      </c>
      <c r="B295" s="1">
        <v>45313</v>
      </c>
      <c r="C295" s="1" t="str">
        <f t="shared" si="8"/>
        <v>January</v>
      </c>
      <c r="D295" t="s">
        <v>13</v>
      </c>
      <c r="E295" t="s">
        <v>74</v>
      </c>
      <c r="F295" t="s">
        <v>32</v>
      </c>
      <c r="G295">
        <v>5</v>
      </c>
      <c r="H295">
        <v>6639.17</v>
      </c>
      <c r="I295" s="3">
        <v>0.1</v>
      </c>
      <c r="J295" t="s">
        <v>16</v>
      </c>
      <c r="K295" t="s">
        <v>49</v>
      </c>
      <c r="L295" t="s">
        <v>18</v>
      </c>
      <c r="M295">
        <v>29876.26</v>
      </c>
      <c r="N295" t="str">
        <f t="shared" si="9"/>
        <v>High</v>
      </c>
    </row>
    <row r="296" spans="1:14" x14ac:dyDescent="0.3">
      <c r="A296" t="s">
        <v>354</v>
      </c>
      <c r="B296" s="1">
        <v>45449</v>
      </c>
      <c r="C296" s="1" t="str">
        <f t="shared" si="8"/>
        <v>June</v>
      </c>
      <c r="D296" t="s">
        <v>25</v>
      </c>
      <c r="E296" t="s">
        <v>87</v>
      </c>
      <c r="F296" t="s">
        <v>53</v>
      </c>
      <c r="G296">
        <v>2</v>
      </c>
      <c r="H296">
        <v>5211.46</v>
      </c>
      <c r="I296" s="3">
        <v>0</v>
      </c>
      <c r="J296" t="s">
        <v>55</v>
      </c>
      <c r="K296" t="s">
        <v>17</v>
      </c>
      <c r="L296" t="s">
        <v>33</v>
      </c>
      <c r="M296">
        <v>10422.92</v>
      </c>
      <c r="N296" t="str">
        <f t="shared" si="9"/>
        <v>Medium</v>
      </c>
    </row>
    <row r="297" spans="1:14" x14ac:dyDescent="0.3">
      <c r="A297" t="s">
        <v>355</v>
      </c>
      <c r="B297" s="1">
        <v>45656</v>
      </c>
      <c r="C297" s="1" t="str">
        <f t="shared" si="8"/>
        <v>December</v>
      </c>
      <c r="D297" t="s">
        <v>13</v>
      </c>
      <c r="E297" t="s">
        <v>108</v>
      </c>
      <c r="F297" t="s">
        <v>47</v>
      </c>
      <c r="G297">
        <v>2</v>
      </c>
      <c r="H297">
        <v>4324.57</v>
      </c>
      <c r="I297" s="3">
        <v>0.2</v>
      </c>
      <c r="J297" t="s">
        <v>22</v>
      </c>
      <c r="K297" t="s">
        <v>17</v>
      </c>
      <c r="L297" t="s">
        <v>18</v>
      </c>
      <c r="M297">
        <v>6919.31</v>
      </c>
      <c r="N297" t="str">
        <f t="shared" si="9"/>
        <v>Low</v>
      </c>
    </row>
    <row r="298" spans="1:14" x14ac:dyDescent="0.3">
      <c r="A298" t="s">
        <v>356</v>
      </c>
      <c r="B298" s="1">
        <v>45587</v>
      </c>
      <c r="C298" s="1" t="str">
        <f t="shared" si="8"/>
        <v>October</v>
      </c>
      <c r="D298" t="s">
        <v>25</v>
      </c>
      <c r="E298" t="s">
        <v>31</v>
      </c>
      <c r="F298" t="s">
        <v>1160</v>
      </c>
      <c r="G298">
        <v>4</v>
      </c>
      <c r="H298">
        <v>3318.89</v>
      </c>
      <c r="I298" s="3">
        <v>0.1</v>
      </c>
      <c r="J298" t="s">
        <v>22</v>
      </c>
      <c r="K298" t="s">
        <v>23</v>
      </c>
      <c r="L298" t="s">
        <v>18</v>
      </c>
      <c r="M298">
        <v>11948</v>
      </c>
      <c r="N298" t="str">
        <f t="shared" si="9"/>
        <v>Medium</v>
      </c>
    </row>
    <row r="299" spans="1:14" x14ac:dyDescent="0.3">
      <c r="A299" t="s">
        <v>357</v>
      </c>
      <c r="B299" s="1">
        <v>45439</v>
      </c>
      <c r="C299" s="1" t="str">
        <f t="shared" si="8"/>
        <v>May</v>
      </c>
      <c r="D299" t="s">
        <v>13</v>
      </c>
      <c r="E299" t="s">
        <v>76</v>
      </c>
      <c r="F299" t="s">
        <v>15</v>
      </c>
      <c r="G299">
        <v>2</v>
      </c>
      <c r="H299">
        <v>5232.5200000000004</v>
      </c>
      <c r="I299" s="3">
        <v>0.2</v>
      </c>
      <c r="J299" t="s">
        <v>28</v>
      </c>
      <c r="K299" t="s">
        <v>49</v>
      </c>
      <c r="L299" t="s">
        <v>33</v>
      </c>
      <c r="M299">
        <v>8372.0300000000007</v>
      </c>
      <c r="N299" t="str">
        <f t="shared" si="9"/>
        <v>Low</v>
      </c>
    </row>
    <row r="300" spans="1:14" x14ac:dyDescent="0.3">
      <c r="A300" t="s">
        <v>358</v>
      </c>
      <c r="B300" s="1">
        <v>45450</v>
      </c>
      <c r="C300" s="1" t="str">
        <f t="shared" si="8"/>
        <v>June</v>
      </c>
      <c r="D300" t="s">
        <v>25</v>
      </c>
      <c r="E300" t="s">
        <v>26</v>
      </c>
      <c r="F300" t="s">
        <v>1160</v>
      </c>
      <c r="G300">
        <v>1</v>
      </c>
      <c r="H300">
        <v>2973.97</v>
      </c>
      <c r="I300" s="3">
        <v>0</v>
      </c>
      <c r="J300" t="s">
        <v>16</v>
      </c>
      <c r="K300" t="s">
        <v>23</v>
      </c>
      <c r="L300" t="s">
        <v>18</v>
      </c>
      <c r="M300">
        <v>2973.97</v>
      </c>
      <c r="N300" t="str">
        <f t="shared" si="9"/>
        <v>Low</v>
      </c>
    </row>
    <row r="301" spans="1:14" x14ac:dyDescent="0.3">
      <c r="A301" t="s">
        <v>359</v>
      </c>
      <c r="B301" s="1">
        <v>45432</v>
      </c>
      <c r="C301" s="1" t="str">
        <f t="shared" si="8"/>
        <v>May</v>
      </c>
      <c r="D301" t="s">
        <v>38</v>
      </c>
      <c r="E301" t="s">
        <v>164</v>
      </c>
      <c r="F301" t="s">
        <v>44</v>
      </c>
      <c r="G301">
        <v>5</v>
      </c>
      <c r="H301">
        <v>613.94000000000005</v>
      </c>
      <c r="I301" s="3">
        <v>0.25</v>
      </c>
      <c r="J301" t="s">
        <v>28</v>
      </c>
      <c r="K301" t="s">
        <v>40</v>
      </c>
      <c r="L301" t="s">
        <v>33</v>
      </c>
      <c r="M301">
        <v>2302.2800000000002</v>
      </c>
      <c r="N301" t="str">
        <f t="shared" si="9"/>
        <v>Low</v>
      </c>
    </row>
    <row r="302" spans="1:14" x14ac:dyDescent="0.3">
      <c r="A302" t="s">
        <v>360</v>
      </c>
      <c r="B302" s="1">
        <v>45461</v>
      </c>
      <c r="C302" s="1" t="str">
        <f t="shared" si="8"/>
        <v>June</v>
      </c>
      <c r="D302" t="s">
        <v>20</v>
      </c>
      <c r="E302" t="s">
        <v>59</v>
      </c>
      <c r="F302" t="s">
        <v>80</v>
      </c>
      <c r="G302">
        <v>5</v>
      </c>
      <c r="H302">
        <v>4612.3500000000004</v>
      </c>
      <c r="I302" s="3">
        <v>0.1</v>
      </c>
      <c r="J302" t="s">
        <v>28</v>
      </c>
      <c r="K302" t="s">
        <v>49</v>
      </c>
      <c r="L302" t="s">
        <v>18</v>
      </c>
      <c r="M302">
        <v>20755.580000000002</v>
      </c>
      <c r="N302" t="str">
        <f t="shared" si="9"/>
        <v>High</v>
      </c>
    </row>
    <row r="303" spans="1:14" x14ac:dyDescent="0.3">
      <c r="A303" t="s">
        <v>361</v>
      </c>
      <c r="B303" s="1">
        <v>45550</v>
      </c>
      <c r="C303" s="1" t="str">
        <f t="shared" si="8"/>
        <v>September</v>
      </c>
      <c r="D303" t="s">
        <v>20</v>
      </c>
      <c r="E303" t="s">
        <v>61</v>
      </c>
      <c r="F303" t="s">
        <v>32</v>
      </c>
      <c r="G303">
        <v>3</v>
      </c>
      <c r="H303">
        <v>3477.71</v>
      </c>
      <c r="I303" s="3">
        <v>0</v>
      </c>
      <c r="J303" t="s">
        <v>22</v>
      </c>
      <c r="K303" t="s">
        <v>49</v>
      </c>
      <c r="L303" t="s">
        <v>33</v>
      </c>
      <c r="M303">
        <v>10433.129999999999</v>
      </c>
      <c r="N303" t="str">
        <f t="shared" si="9"/>
        <v>Medium</v>
      </c>
    </row>
    <row r="304" spans="1:14" x14ac:dyDescent="0.3">
      <c r="A304" t="s">
        <v>362</v>
      </c>
      <c r="B304" s="1">
        <v>45564</v>
      </c>
      <c r="C304" s="1" t="str">
        <f t="shared" si="8"/>
        <v>September</v>
      </c>
      <c r="D304" t="s">
        <v>20</v>
      </c>
      <c r="E304" t="s">
        <v>21</v>
      </c>
      <c r="F304" t="s">
        <v>80</v>
      </c>
      <c r="G304">
        <v>3</v>
      </c>
      <c r="H304">
        <v>5313.93</v>
      </c>
      <c r="I304" s="3">
        <v>0.1</v>
      </c>
      <c r="J304" t="s">
        <v>16</v>
      </c>
      <c r="K304" t="s">
        <v>49</v>
      </c>
      <c r="L304" t="s">
        <v>33</v>
      </c>
      <c r="M304">
        <v>14347.61</v>
      </c>
      <c r="N304" t="str">
        <f t="shared" si="9"/>
        <v>Medium</v>
      </c>
    </row>
    <row r="305" spans="1:14" x14ac:dyDescent="0.3">
      <c r="A305" t="s">
        <v>363</v>
      </c>
      <c r="B305" s="1">
        <v>45349</v>
      </c>
      <c r="C305" s="1" t="str">
        <f t="shared" si="8"/>
        <v>February</v>
      </c>
      <c r="D305" t="s">
        <v>20</v>
      </c>
      <c r="E305" t="s">
        <v>59</v>
      </c>
      <c r="F305" t="s">
        <v>1160</v>
      </c>
      <c r="G305">
        <v>4</v>
      </c>
      <c r="H305">
        <v>1449.71</v>
      </c>
      <c r="I305" s="3">
        <v>0.1</v>
      </c>
      <c r="J305" t="s">
        <v>16</v>
      </c>
      <c r="K305" t="s">
        <v>23</v>
      </c>
      <c r="L305" t="s">
        <v>33</v>
      </c>
      <c r="M305">
        <v>5218.96</v>
      </c>
      <c r="N305" t="str">
        <f t="shared" si="9"/>
        <v>Low</v>
      </c>
    </row>
    <row r="306" spans="1:14" x14ac:dyDescent="0.3">
      <c r="A306" t="s">
        <v>364</v>
      </c>
      <c r="B306" s="1">
        <v>45303</v>
      </c>
      <c r="C306" s="1" t="str">
        <f t="shared" si="8"/>
        <v>January</v>
      </c>
      <c r="D306" t="s">
        <v>20</v>
      </c>
      <c r="E306" t="s">
        <v>57</v>
      </c>
      <c r="F306" t="s">
        <v>27</v>
      </c>
      <c r="G306">
        <v>6</v>
      </c>
      <c r="H306">
        <v>5821.88</v>
      </c>
      <c r="I306" s="3">
        <v>0</v>
      </c>
      <c r="J306" t="s">
        <v>16</v>
      </c>
      <c r="K306" t="s">
        <v>49</v>
      </c>
      <c r="L306" t="s">
        <v>33</v>
      </c>
      <c r="M306">
        <v>34931.279999999999</v>
      </c>
      <c r="N306" t="str">
        <f t="shared" si="9"/>
        <v>High</v>
      </c>
    </row>
    <row r="307" spans="1:14" x14ac:dyDescent="0.3">
      <c r="A307" t="s">
        <v>365</v>
      </c>
      <c r="B307" s="1">
        <v>45581</v>
      </c>
      <c r="C307" s="1" t="str">
        <f t="shared" si="8"/>
        <v>October</v>
      </c>
      <c r="D307" t="s">
        <v>25</v>
      </c>
      <c r="E307" t="s">
        <v>46</v>
      </c>
      <c r="F307" t="s">
        <v>47</v>
      </c>
      <c r="G307">
        <v>6</v>
      </c>
      <c r="H307">
        <v>2628.08</v>
      </c>
      <c r="I307" s="3">
        <v>0.15</v>
      </c>
      <c r="J307" t="s">
        <v>16</v>
      </c>
      <c r="K307" t="s">
        <v>40</v>
      </c>
      <c r="L307" t="s">
        <v>33</v>
      </c>
      <c r="M307">
        <v>13403.21</v>
      </c>
      <c r="N307" t="str">
        <f t="shared" si="9"/>
        <v>Medium</v>
      </c>
    </row>
    <row r="308" spans="1:14" x14ac:dyDescent="0.3">
      <c r="A308" t="s">
        <v>366</v>
      </c>
      <c r="B308" s="1">
        <v>45370</v>
      </c>
      <c r="C308" s="1" t="str">
        <f t="shared" si="8"/>
        <v>March</v>
      </c>
      <c r="D308" t="s">
        <v>35</v>
      </c>
      <c r="E308" t="s">
        <v>97</v>
      </c>
      <c r="F308" t="s">
        <v>53</v>
      </c>
      <c r="G308">
        <v>3</v>
      </c>
      <c r="H308">
        <v>6253.14</v>
      </c>
      <c r="I308" s="3">
        <v>0.25</v>
      </c>
      <c r="J308" t="s">
        <v>55</v>
      </c>
      <c r="K308" t="s">
        <v>23</v>
      </c>
      <c r="L308" t="s">
        <v>18</v>
      </c>
      <c r="M308">
        <v>14069.57</v>
      </c>
      <c r="N308" t="str">
        <f t="shared" si="9"/>
        <v>Medium</v>
      </c>
    </row>
    <row r="309" spans="1:14" x14ac:dyDescent="0.3">
      <c r="A309" t="s">
        <v>367</v>
      </c>
      <c r="B309" s="1">
        <v>45552</v>
      </c>
      <c r="C309" s="1" t="str">
        <f t="shared" si="8"/>
        <v>September</v>
      </c>
      <c r="D309" t="s">
        <v>25</v>
      </c>
      <c r="E309" t="s">
        <v>94</v>
      </c>
      <c r="F309" t="s">
        <v>27</v>
      </c>
      <c r="G309">
        <v>4</v>
      </c>
      <c r="H309">
        <v>1792.92</v>
      </c>
      <c r="I309" s="3">
        <v>0.1</v>
      </c>
      <c r="J309" t="s">
        <v>22</v>
      </c>
      <c r="K309" t="s">
        <v>49</v>
      </c>
      <c r="L309" t="s">
        <v>33</v>
      </c>
      <c r="M309">
        <v>6454.51</v>
      </c>
      <c r="N309" t="str">
        <f t="shared" si="9"/>
        <v>Low</v>
      </c>
    </row>
    <row r="310" spans="1:14" x14ac:dyDescent="0.3">
      <c r="A310" t="s">
        <v>368</v>
      </c>
      <c r="B310" s="1">
        <v>45360</v>
      </c>
      <c r="C310" s="1" t="str">
        <f t="shared" si="8"/>
        <v>March</v>
      </c>
      <c r="D310" t="s">
        <v>38</v>
      </c>
      <c r="E310" t="s">
        <v>164</v>
      </c>
      <c r="F310" t="s">
        <v>15</v>
      </c>
      <c r="G310">
        <v>2</v>
      </c>
      <c r="H310">
        <v>251.07</v>
      </c>
      <c r="I310" s="3">
        <v>0.1</v>
      </c>
      <c r="J310" t="s">
        <v>22</v>
      </c>
      <c r="K310" t="s">
        <v>40</v>
      </c>
      <c r="L310" t="s">
        <v>33</v>
      </c>
      <c r="M310">
        <v>451.93</v>
      </c>
      <c r="N310" t="str">
        <f t="shared" si="9"/>
        <v>Low</v>
      </c>
    </row>
    <row r="311" spans="1:14" x14ac:dyDescent="0.3">
      <c r="A311" t="s">
        <v>369</v>
      </c>
      <c r="B311" s="1">
        <v>45457</v>
      </c>
      <c r="C311" s="1" t="str">
        <f t="shared" si="8"/>
        <v>June</v>
      </c>
      <c r="D311" t="s">
        <v>35</v>
      </c>
      <c r="E311" t="s">
        <v>63</v>
      </c>
      <c r="F311" t="s">
        <v>53</v>
      </c>
      <c r="G311">
        <v>3</v>
      </c>
      <c r="H311">
        <v>5052.96</v>
      </c>
      <c r="I311" s="3">
        <v>0.25</v>
      </c>
      <c r="J311" t="s">
        <v>55</v>
      </c>
      <c r="K311" t="s">
        <v>29</v>
      </c>
      <c r="L311" t="s">
        <v>33</v>
      </c>
      <c r="M311">
        <v>11369.16</v>
      </c>
      <c r="N311" t="str">
        <f t="shared" si="9"/>
        <v>Medium</v>
      </c>
    </row>
    <row r="312" spans="1:14" x14ac:dyDescent="0.3">
      <c r="A312" t="s">
        <v>370</v>
      </c>
      <c r="B312" s="1">
        <v>45394</v>
      </c>
      <c r="C312" s="1" t="str">
        <f t="shared" si="8"/>
        <v>April</v>
      </c>
      <c r="D312" t="s">
        <v>35</v>
      </c>
      <c r="E312" t="s">
        <v>68</v>
      </c>
      <c r="F312" t="s">
        <v>47</v>
      </c>
      <c r="G312">
        <v>4</v>
      </c>
      <c r="H312">
        <v>3732.8</v>
      </c>
      <c r="I312" s="3">
        <v>0.25</v>
      </c>
      <c r="J312" t="s">
        <v>16</v>
      </c>
      <c r="K312" t="s">
        <v>23</v>
      </c>
      <c r="L312" t="s">
        <v>33</v>
      </c>
      <c r="M312">
        <v>11198.4</v>
      </c>
      <c r="N312" t="str">
        <f t="shared" si="9"/>
        <v>Medium</v>
      </c>
    </row>
    <row r="313" spans="1:14" x14ac:dyDescent="0.3">
      <c r="A313" t="s">
        <v>371</v>
      </c>
      <c r="B313" s="1">
        <v>45352</v>
      </c>
      <c r="C313" s="1" t="str">
        <f t="shared" si="8"/>
        <v>March</v>
      </c>
      <c r="D313" t="s">
        <v>38</v>
      </c>
      <c r="E313" t="s">
        <v>51</v>
      </c>
      <c r="F313" t="s">
        <v>47</v>
      </c>
      <c r="G313">
        <v>4</v>
      </c>
      <c r="H313">
        <v>4852.71</v>
      </c>
      <c r="I313" s="3">
        <v>0</v>
      </c>
      <c r="J313" t="s">
        <v>22</v>
      </c>
      <c r="K313" t="s">
        <v>23</v>
      </c>
      <c r="L313" t="s">
        <v>18</v>
      </c>
      <c r="M313">
        <v>19410.84</v>
      </c>
      <c r="N313" t="str">
        <f t="shared" si="9"/>
        <v>Medium</v>
      </c>
    </row>
    <row r="314" spans="1:14" x14ac:dyDescent="0.3">
      <c r="A314" t="s">
        <v>372</v>
      </c>
      <c r="B314" s="1">
        <v>45292</v>
      </c>
      <c r="C314" s="1" t="str">
        <f t="shared" si="8"/>
        <v>January</v>
      </c>
      <c r="D314" t="s">
        <v>20</v>
      </c>
      <c r="E314" t="s">
        <v>21</v>
      </c>
      <c r="F314" t="s">
        <v>1160</v>
      </c>
      <c r="G314">
        <v>1</v>
      </c>
      <c r="H314">
        <v>3812.29</v>
      </c>
      <c r="I314" s="3">
        <v>0.2</v>
      </c>
      <c r="J314" t="s">
        <v>16</v>
      </c>
      <c r="K314" t="s">
        <v>49</v>
      </c>
      <c r="L314" t="s">
        <v>33</v>
      </c>
      <c r="M314">
        <v>3049.83</v>
      </c>
      <c r="N314" t="str">
        <f t="shared" si="9"/>
        <v>Low</v>
      </c>
    </row>
    <row r="315" spans="1:14" x14ac:dyDescent="0.3">
      <c r="A315" t="s">
        <v>373</v>
      </c>
      <c r="B315" s="1">
        <v>45531</v>
      </c>
      <c r="C315" s="1" t="str">
        <f t="shared" si="8"/>
        <v>August</v>
      </c>
      <c r="D315" t="s">
        <v>13</v>
      </c>
      <c r="E315" t="s">
        <v>76</v>
      </c>
      <c r="F315" t="s">
        <v>47</v>
      </c>
      <c r="G315">
        <v>1</v>
      </c>
      <c r="H315">
        <v>3908.95</v>
      </c>
      <c r="I315" s="3">
        <v>0</v>
      </c>
      <c r="J315" t="s">
        <v>22</v>
      </c>
      <c r="K315" t="s">
        <v>29</v>
      </c>
      <c r="L315" t="s">
        <v>18</v>
      </c>
      <c r="M315">
        <v>3908.95</v>
      </c>
      <c r="N315" t="str">
        <f t="shared" si="9"/>
        <v>Low</v>
      </c>
    </row>
    <row r="316" spans="1:14" x14ac:dyDescent="0.3">
      <c r="A316" t="s">
        <v>374</v>
      </c>
      <c r="B316" s="1">
        <v>45328</v>
      </c>
      <c r="C316" s="1" t="str">
        <f t="shared" si="8"/>
        <v>February</v>
      </c>
      <c r="D316" t="s">
        <v>25</v>
      </c>
      <c r="E316" t="s">
        <v>87</v>
      </c>
      <c r="F316" t="s">
        <v>32</v>
      </c>
      <c r="G316">
        <v>1</v>
      </c>
      <c r="H316">
        <v>4513.7700000000004</v>
      </c>
      <c r="I316" s="3">
        <v>0</v>
      </c>
      <c r="J316" t="s">
        <v>28</v>
      </c>
      <c r="K316" t="s">
        <v>40</v>
      </c>
      <c r="L316" t="s">
        <v>33</v>
      </c>
      <c r="M316">
        <v>4513.7700000000004</v>
      </c>
      <c r="N316" t="str">
        <f t="shared" si="9"/>
        <v>Low</v>
      </c>
    </row>
    <row r="317" spans="1:14" x14ac:dyDescent="0.3">
      <c r="A317" t="s">
        <v>375</v>
      </c>
      <c r="B317" s="1">
        <v>45578</v>
      </c>
      <c r="C317" s="1" t="str">
        <f t="shared" si="8"/>
        <v>October</v>
      </c>
      <c r="D317" t="s">
        <v>38</v>
      </c>
      <c r="E317" t="s">
        <v>39</v>
      </c>
      <c r="F317" t="s">
        <v>32</v>
      </c>
      <c r="G317">
        <v>6</v>
      </c>
      <c r="H317">
        <v>1786.99</v>
      </c>
      <c r="I317" s="3">
        <v>0.05</v>
      </c>
      <c r="J317" t="s">
        <v>28</v>
      </c>
      <c r="K317" t="s">
        <v>23</v>
      </c>
      <c r="L317" t="s">
        <v>33</v>
      </c>
      <c r="M317">
        <v>10185.84</v>
      </c>
      <c r="N317" t="str">
        <f t="shared" si="9"/>
        <v>Medium</v>
      </c>
    </row>
    <row r="318" spans="1:14" x14ac:dyDescent="0.3">
      <c r="A318" t="s">
        <v>376</v>
      </c>
      <c r="B318" s="1">
        <v>45571</v>
      </c>
      <c r="C318" s="1" t="str">
        <f t="shared" si="8"/>
        <v>October</v>
      </c>
      <c r="D318" t="s">
        <v>35</v>
      </c>
      <c r="E318" t="s">
        <v>36</v>
      </c>
      <c r="F318" t="s">
        <v>53</v>
      </c>
      <c r="G318">
        <v>5</v>
      </c>
      <c r="H318">
        <v>2917.34</v>
      </c>
      <c r="I318" s="3">
        <v>0</v>
      </c>
      <c r="J318" t="s">
        <v>16</v>
      </c>
      <c r="K318" t="s">
        <v>29</v>
      </c>
      <c r="L318" t="s">
        <v>33</v>
      </c>
      <c r="M318">
        <v>14586.7</v>
      </c>
      <c r="N318" t="str">
        <f t="shared" si="9"/>
        <v>Medium</v>
      </c>
    </row>
    <row r="319" spans="1:14" x14ac:dyDescent="0.3">
      <c r="A319" t="s">
        <v>377</v>
      </c>
      <c r="B319" s="1">
        <v>45367</v>
      </c>
      <c r="C319" s="1" t="str">
        <f t="shared" si="8"/>
        <v>March</v>
      </c>
      <c r="D319" t="s">
        <v>13</v>
      </c>
      <c r="E319" t="s">
        <v>108</v>
      </c>
      <c r="F319" t="s">
        <v>27</v>
      </c>
      <c r="G319">
        <v>4</v>
      </c>
      <c r="H319">
        <v>4910.45</v>
      </c>
      <c r="I319" s="3">
        <v>0.15</v>
      </c>
      <c r="J319" t="s">
        <v>16</v>
      </c>
      <c r="K319" t="s">
        <v>49</v>
      </c>
      <c r="L319" t="s">
        <v>33</v>
      </c>
      <c r="M319">
        <v>16695.53</v>
      </c>
      <c r="N319" t="str">
        <f t="shared" si="9"/>
        <v>Medium</v>
      </c>
    </row>
    <row r="320" spans="1:14" x14ac:dyDescent="0.3">
      <c r="A320" t="s">
        <v>378</v>
      </c>
      <c r="B320" s="1">
        <v>45500</v>
      </c>
      <c r="C320" s="1" t="str">
        <f t="shared" si="8"/>
        <v>July</v>
      </c>
      <c r="D320" t="s">
        <v>25</v>
      </c>
      <c r="E320" t="s">
        <v>87</v>
      </c>
      <c r="F320" t="s">
        <v>44</v>
      </c>
      <c r="G320">
        <v>5</v>
      </c>
      <c r="H320">
        <v>4659.92</v>
      </c>
      <c r="I320" s="3">
        <v>0.1</v>
      </c>
      <c r="J320" t="s">
        <v>22</v>
      </c>
      <c r="K320" t="s">
        <v>40</v>
      </c>
      <c r="L320" t="s">
        <v>33</v>
      </c>
      <c r="M320">
        <v>20969.64</v>
      </c>
      <c r="N320" t="str">
        <f t="shared" si="9"/>
        <v>High</v>
      </c>
    </row>
    <row r="321" spans="1:14" x14ac:dyDescent="0.3">
      <c r="A321" t="s">
        <v>379</v>
      </c>
      <c r="B321" s="1">
        <v>45608</v>
      </c>
      <c r="C321" s="1" t="str">
        <f t="shared" si="8"/>
        <v>November</v>
      </c>
      <c r="D321" t="s">
        <v>38</v>
      </c>
      <c r="E321" t="s">
        <v>42</v>
      </c>
      <c r="F321" t="s">
        <v>47</v>
      </c>
      <c r="G321">
        <v>3</v>
      </c>
      <c r="H321">
        <v>3617.65</v>
      </c>
      <c r="I321" s="3">
        <v>0.05</v>
      </c>
      <c r="J321" t="s">
        <v>16</v>
      </c>
      <c r="K321" t="s">
        <v>23</v>
      </c>
      <c r="L321" t="s">
        <v>33</v>
      </c>
      <c r="M321">
        <v>10310.299999999999</v>
      </c>
      <c r="N321" t="str">
        <f t="shared" si="9"/>
        <v>Medium</v>
      </c>
    </row>
    <row r="322" spans="1:14" x14ac:dyDescent="0.3">
      <c r="A322" t="s">
        <v>380</v>
      </c>
      <c r="B322" s="1">
        <v>45432</v>
      </c>
      <c r="C322" s="1" t="str">
        <f t="shared" ref="C322:C385" si="10">TEXT(B322,"mmmm")</f>
        <v>May</v>
      </c>
      <c r="D322" t="s">
        <v>20</v>
      </c>
      <c r="E322" t="s">
        <v>78</v>
      </c>
      <c r="F322" t="s">
        <v>80</v>
      </c>
      <c r="G322">
        <v>2</v>
      </c>
      <c r="H322">
        <v>253.31</v>
      </c>
      <c r="I322" s="3">
        <v>0</v>
      </c>
      <c r="J322" t="s">
        <v>16</v>
      </c>
      <c r="K322" t="s">
        <v>23</v>
      </c>
      <c r="L322" t="s">
        <v>33</v>
      </c>
      <c r="M322">
        <v>506.62</v>
      </c>
      <c r="N322" t="str">
        <f t="shared" ref="N322:N385" si="11">IF(M322&gt;20000,"High",IF(M322&gt;10000,"Medium","Low"))</f>
        <v>Low</v>
      </c>
    </row>
    <row r="323" spans="1:14" x14ac:dyDescent="0.3">
      <c r="A323" t="s">
        <v>381</v>
      </c>
      <c r="B323" s="1">
        <v>45345</v>
      </c>
      <c r="C323" s="1" t="str">
        <f t="shared" si="10"/>
        <v>February</v>
      </c>
      <c r="D323" t="s">
        <v>35</v>
      </c>
      <c r="E323" t="s">
        <v>36</v>
      </c>
      <c r="F323" t="s">
        <v>47</v>
      </c>
      <c r="G323">
        <v>1</v>
      </c>
      <c r="H323">
        <v>6629.72</v>
      </c>
      <c r="I323" s="3">
        <v>0.15</v>
      </c>
      <c r="J323" t="s">
        <v>55</v>
      </c>
      <c r="K323" t="s">
        <v>23</v>
      </c>
      <c r="L323" t="s">
        <v>33</v>
      </c>
      <c r="M323">
        <v>5635.26</v>
      </c>
      <c r="N323" t="str">
        <f t="shared" si="11"/>
        <v>Low</v>
      </c>
    </row>
    <row r="324" spans="1:14" x14ac:dyDescent="0.3">
      <c r="A324" t="s">
        <v>382</v>
      </c>
      <c r="B324" s="1">
        <v>45500</v>
      </c>
      <c r="C324" s="1" t="str">
        <f t="shared" si="10"/>
        <v>July</v>
      </c>
      <c r="D324" t="s">
        <v>25</v>
      </c>
      <c r="E324" t="s">
        <v>31</v>
      </c>
      <c r="F324" t="s">
        <v>1160</v>
      </c>
      <c r="G324">
        <v>5</v>
      </c>
      <c r="H324">
        <v>5564.9</v>
      </c>
      <c r="I324" s="3">
        <v>0</v>
      </c>
      <c r="J324" t="s">
        <v>22</v>
      </c>
      <c r="K324" t="s">
        <v>29</v>
      </c>
      <c r="L324" t="s">
        <v>33</v>
      </c>
      <c r="M324">
        <f>Orders[[#This Row],[Quantity]]*Orders[[#This Row],[UnitPrice]]-Orders[[#This Row],[Discount%]]</f>
        <v>27824.5</v>
      </c>
      <c r="N324" t="str">
        <f t="shared" si="11"/>
        <v>High</v>
      </c>
    </row>
    <row r="325" spans="1:14" x14ac:dyDescent="0.3">
      <c r="A325" t="s">
        <v>383</v>
      </c>
      <c r="B325" s="1">
        <v>45606</v>
      </c>
      <c r="C325" s="1" t="str">
        <f t="shared" si="10"/>
        <v>November</v>
      </c>
      <c r="D325" t="s">
        <v>35</v>
      </c>
      <c r="E325" t="s">
        <v>63</v>
      </c>
      <c r="F325" t="s">
        <v>44</v>
      </c>
      <c r="G325">
        <v>6</v>
      </c>
      <c r="H325">
        <v>1456.5</v>
      </c>
      <c r="I325" s="3">
        <v>0.1</v>
      </c>
      <c r="J325" t="s">
        <v>55</v>
      </c>
      <c r="K325" t="s">
        <v>23</v>
      </c>
      <c r="L325" t="s">
        <v>33</v>
      </c>
      <c r="M325">
        <v>7865.1</v>
      </c>
      <c r="N325" t="str">
        <f t="shared" si="11"/>
        <v>Low</v>
      </c>
    </row>
    <row r="326" spans="1:14" x14ac:dyDescent="0.3">
      <c r="A326" t="s">
        <v>384</v>
      </c>
      <c r="B326" s="1">
        <v>45627</v>
      </c>
      <c r="C326" s="1" t="str">
        <f t="shared" si="10"/>
        <v>December</v>
      </c>
      <c r="D326" t="s">
        <v>25</v>
      </c>
      <c r="E326" t="s">
        <v>94</v>
      </c>
      <c r="F326" t="s">
        <v>47</v>
      </c>
      <c r="G326">
        <v>1</v>
      </c>
      <c r="H326">
        <v>4843.1899999999996</v>
      </c>
      <c r="I326" s="3">
        <v>0.2</v>
      </c>
      <c r="J326" t="s">
        <v>16</v>
      </c>
      <c r="K326" t="s">
        <v>40</v>
      </c>
      <c r="L326" t="s">
        <v>33</v>
      </c>
      <c r="M326">
        <v>3874.55</v>
      </c>
      <c r="N326" t="str">
        <f t="shared" si="11"/>
        <v>Low</v>
      </c>
    </row>
    <row r="327" spans="1:14" x14ac:dyDescent="0.3">
      <c r="A327" t="s">
        <v>385</v>
      </c>
      <c r="B327" s="1">
        <v>45623</v>
      </c>
      <c r="C327" s="1" t="str">
        <f t="shared" si="10"/>
        <v>November</v>
      </c>
      <c r="D327" t="s">
        <v>25</v>
      </c>
      <c r="E327" t="s">
        <v>31</v>
      </c>
      <c r="F327" t="s">
        <v>44</v>
      </c>
      <c r="G327">
        <v>5</v>
      </c>
      <c r="H327">
        <v>5547.18</v>
      </c>
      <c r="I327" s="3">
        <v>0.1</v>
      </c>
      <c r="J327" t="s">
        <v>55</v>
      </c>
      <c r="K327" t="s">
        <v>23</v>
      </c>
      <c r="L327" t="s">
        <v>33</v>
      </c>
      <c r="M327">
        <v>24962.31</v>
      </c>
      <c r="N327" t="str">
        <f t="shared" si="11"/>
        <v>High</v>
      </c>
    </row>
    <row r="328" spans="1:14" x14ac:dyDescent="0.3">
      <c r="A328" t="s">
        <v>386</v>
      </c>
      <c r="B328" s="1">
        <v>45457</v>
      </c>
      <c r="C328" s="1" t="str">
        <f t="shared" si="10"/>
        <v>June</v>
      </c>
      <c r="D328" t="s">
        <v>35</v>
      </c>
      <c r="E328" t="s">
        <v>65</v>
      </c>
      <c r="F328" t="s">
        <v>80</v>
      </c>
      <c r="G328">
        <v>2</v>
      </c>
      <c r="H328">
        <v>390.97</v>
      </c>
      <c r="I328" s="3">
        <v>0.1</v>
      </c>
      <c r="J328" t="s">
        <v>16</v>
      </c>
      <c r="K328" t="s">
        <v>40</v>
      </c>
      <c r="L328" t="s">
        <v>33</v>
      </c>
      <c r="M328">
        <v>703.75</v>
      </c>
      <c r="N328" t="str">
        <f t="shared" si="11"/>
        <v>Low</v>
      </c>
    </row>
    <row r="329" spans="1:14" x14ac:dyDescent="0.3">
      <c r="A329" t="s">
        <v>387</v>
      </c>
      <c r="B329" s="1">
        <v>45629</v>
      </c>
      <c r="C329" s="1" t="str">
        <f t="shared" si="10"/>
        <v>December</v>
      </c>
      <c r="D329" t="s">
        <v>35</v>
      </c>
      <c r="E329" t="s">
        <v>68</v>
      </c>
      <c r="F329" t="s">
        <v>47</v>
      </c>
      <c r="G329">
        <v>6</v>
      </c>
      <c r="H329">
        <v>4757.8100000000004</v>
      </c>
      <c r="I329" s="3">
        <v>0.1</v>
      </c>
      <c r="J329" t="s">
        <v>16</v>
      </c>
      <c r="K329" t="s">
        <v>29</v>
      </c>
      <c r="L329" t="s">
        <v>18</v>
      </c>
      <c r="M329">
        <v>25692.17</v>
      </c>
      <c r="N329" t="str">
        <f t="shared" si="11"/>
        <v>High</v>
      </c>
    </row>
    <row r="330" spans="1:14" x14ac:dyDescent="0.3">
      <c r="A330" t="s">
        <v>388</v>
      </c>
      <c r="B330" s="1">
        <v>45323</v>
      </c>
      <c r="C330" s="1" t="str">
        <f t="shared" si="10"/>
        <v>February</v>
      </c>
      <c r="D330" t="s">
        <v>25</v>
      </c>
      <c r="E330" t="s">
        <v>94</v>
      </c>
      <c r="F330" t="s">
        <v>1160</v>
      </c>
      <c r="G330">
        <v>1</v>
      </c>
      <c r="H330">
        <v>2472.6999999999998</v>
      </c>
      <c r="I330" s="3">
        <v>0.1</v>
      </c>
      <c r="J330" t="s">
        <v>16</v>
      </c>
      <c r="K330" t="s">
        <v>29</v>
      </c>
      <c r="L330" t="s">
        <v>33</v>
      </c>
      <c r="M330">
        <v>2225.4299999999998</v>
      </c>
      <c r="N330" t="str">
        <f t="shared" si="11"/>
        <v>Low</v>
      </c>
    </row>
    <row r="331" spans="1:14" x14ac:dyDescent="0.3">
      <c r="A331" t="s">
        <v>389</v>
      </c>
      <c r="B331" s="1">
        <v>45559</v>
      </c>
      <c r="C331" s="1" t="str">
        <f t="shared" si="10"/>
        <v>September</v>
      </c>
      <c r="D331" t="s">
        <v>13</v>
      </c>
      <c r="E331" t="s">
        <v>108</v>
      </c>
      <c r="F331" t="s">
        <v>47</v>
      </c>
      <c r="G331">
        <v>6</v>
      </c>
      <c r="H331">
        <v>1025.06</v>
      </c>
      <c r="I331" s="3">
        <v>0.1</v>
      </c>
      <c r="J331" t="s">
        <v>16</v>
      </c>
      <c r="K331" t="s">
        <v>23</v>
      </c>
      <c r="L331" t="s">
        <v>33</v>
      </c>
      <c r="M331">
        <v>5535.32</v>
      </c>
      <c r="N331" t="str">
        <f t="shared" si="11"/>
        <v>Low</v>
      </c>
    </row>
    <row r="332" spans="1:14" x14ac:dyDescent="0.3">
      <c r="A332" t="s">
        <v>390</v>
      </c>
      <c r="B332" s="1">
        <v>45620</v>
      </c>
      <c r="C332" s="1" t="str">
        <f t="shared" si="10"/>
        <v>November</v>
      </c>
      <c r="D332" t="s">
        <v>38</v>
      </c>
      <c r="E332" t="s">
        <v>100</v>
      </c>
      <c r="F332" t="s">
        <v>1160</v>
      </c>
      <c r="G332">
        <v>4</v>
      </c>
      <c r="H332">
        <v>2213.9299999999998</v>
      </c>
      <c r="I332" s="3">
        <v>0</v>
      </c>
      <c r="J332" t="s">
        <v>16</v>
      </c>
      <c r="K332" t="s">
        <v>17</v>
      </c>
      <c r="L332" t="s">
        <v>33</v>
      </c>
      <c r="M332">
        <v>8855.7199999999993</v>
      </c>
      <c r="N332" t="str">
        <f t="shared" si="11"/>
        <v>Low</v>
      </c>
    </row>
    <row r="333" spans="1:14" x14ac:dyDescent="0.3">
      <c r="A333" t="s">
        <v>391</v>
      </c>
      <c r="B333" s="1">
        <v>45527</v>
      </c>
      <c r="C333" s="1" t="str">
        <f t="shared" si="10"/>
        <v>August</v>
      </c>
      <c r="D333" t="s">
        <v>38</v>
      </c>
      <c r="E333" t="s">
        <v>42</v>
      </c>
      <c r="F333" t="s">
        <v>53</v>
      </c>
      <c r="G333">
        <v>5</v>
      </c>
      <c r="H333">
        <v>5735.45</v>
      </c>
      <c r="I333" s="3">
        <v>0</v>
      </c>
      <c r="J333" t="s">
        <v>55</v>
      </c>
      <c r="K333" t="s">
        <v>17</v>
      </c>
      <c r="L333" t="s">
        <v>18</v>
      </c>
      <c r="M333">
        <v>28677.25</v>
      </c>
      <c r="N333" t="str">
        <f t="shared" si="11"/>
        <v>High</v>
      </c>
    </row>
    <row r="334" spans="1:14" x14ac:dyDescent="0.3">
      <c r="A334" t="s">
        <v>392</v>
      </c>
      <c r="B334" s="1">
        <v>45428</v>
      </c>
      <c r="C334" s="1" t="str">
        <f t="shared" si="10"/>
        <v>May</v>
      </c>
      <c r="D334" t="s">
        <v>35</v>
      </c>
      <c r="E334" t="s">
        <v>63</v>
      </c>
      <c r="F334" t="s">
        <v>53</v>
      </c>
      <c r="G334">
        <v>3</v>
      </c>
      <c r="H334">
        <v>3634.76</v>
      </c>
      <c r="I334" s="3">
        <v>0.1</v>
      </c>
      <c r="J334" t="s">
        <v>16</v>
      </c>
      <c r="K334" t="s">
        <v>49</v>
      </c>
      <c r="L334" t="s">
        <v>33</v>
      </c>
      <c r="M334">
        <v>9813.85</v>
      </c>
      <c r="N334" t="str">
        <f t="shared" si="11"/>
        <v>Low</v>
      </c>
    </row>
    <row r="335" spans="1:14" x14ac:dyDescent="0.3">
      <c r="A335" t="s">
        <v>393</v>
      </c>
      <c r="B335" s="1">
        <v>45560</v>
      </c>
      <c r="C335" s="1" t="str">
        <f t="shared" si="10"/>
        <v>September</v>
      </c>
      <c r="D335" t="s">
        <v>35</v>
      </c>
      <c r="E335" t="s">
        <v>68</v>
      </c>
      <c r="F335" t="s">
        <v>15</v>
      </c>
      <c r="G335">
        <v>1</v>
      </c>
      <c r="H335">
        <v>2031.94</v>
      </c>
      <c r="I335" s="3">
        <v>0.05</v>
      </c>
      <c r="J335" t="s">
        <v>28</v>
      </c>
      <c r="K335" t="s">
        <v>17</v>
      </c>
      <c r="L335" t="s">
        <v>33</v>
      </c>
      <c r="M335">
        <v>1930.34</v>
      </c>
      <c r="N335" t="str">
        <f t="shared" si="11"/>
        <v>Low</v>
      </c>
    </row>
    <row r="336" spans="1:14" x14ac:dyDescent="0.3">
      <c r="A336" t="s">
        <v>394</v>
      </c>
      <c r="B336" s="1">
        <v>45342</v>
      </c>
      <c r="C336" s="1" t="str">
        <f t="shared" si="10"/>
        <v>February</v>
      </c>
      <c r="D336" t="s">
        <v>35</v>
      </c>
      <c r="E336" t="s">
        <v>65</v>
      </c>
      <c r="F336" t="s">
        <v>80</v>
      </c>
      <c r="G336">
        <v>2</v>
      </c>
      <c r="H336">
        <v>2352.94</v>
      </c>
      <c r="I336" s="3">
        <v>0.15</v>
      </c>
      <c r="J336" t="s">
        <v>16</v>
      </c>
      <c r="K336" t="s">
        <v>40</v>
      </c>
      <c r="L336" t="s">
        <v>18</v>
      </c>
      <c r="M336">
        <v>4000</v>
      </c>
      <c r="N336" t="str">
        <f t="shared" si="11"/>
        <v>Low</v>
      </c>
    </row>
    <row r="337" spans="1:14" x14ac:dyDescent="0.3">
      <c r="A337" t="s">
        <v>395</v>
      </c>
      <c r="B337" s="1">
        <v>45547</v>
      </c>
      <c r="C337" s="1" t="str">
        <f t="shared" si="10"/>
        <v>September</v>
      </c>
      <c r="D337" t="s">
        <v>38</v>
      </c>
      <c r="E337" t="s">
        <v>42</v>
      </c>
      <c r="F337" t="s">
        <v>1160</v>
      </c>
      <c r="G337">
        <v>6</v>
      </c>
      <c r="H337">
        <v>4898.6899999999996</v>
      </c>
      <c r="I337" s="3">
        <v>0.15</v>
      </c>
      <c r="J337" t="s">
        <v>16</v>
      </c>
      <c r="K337" t="s">
        <v>29</v>
      </c>
      <c r="L337" t="s">
        <v>33</v>
      </c>
      <c r="M337">
        <v>24983.32</v>
      </c>
      <c r="N337" t="str">
        <f t="shared" si="11"/>
        <v>High</v>
      </c>
    </row>
    <row r="338" spans="1:14" x14ac:dyDescent="0.3">
      <c r="A338" t="s">
        <v>396</v>
      </c>
      <c r="B338" s="1">
        <v>45333</v>
      </c>
      <c r="C338" s="1" t="str">
        <f t="shared" si="10"/>
        <v>February</v>
      </c>
      <c r="D338" t="s">
        <v>20</v>
      </c>
      <c r="E338" t="s">
        <v>21</v>
      </c>
      <c r="F338" t="s">
        <v>44</v>
      </c>
      <c r="G338">
        <v>4</v>
      </c>
      <c r="H338">
        <v>1853.2</v>
      </c>
      <c r="I338" s="3">
        <v>0</v>
      </c>
      <c r="J338" t="s">
        <v>16</v>
      </c>
      <c r="K338" t="s">
        <v>49</v>
      </c>
      <c r="L338" t="s">
        <v>33</v>
      </c>
      <c r="M338">
        <v>7412.8</v>
      </c>
      <c r="N338" t="str">
        <f t="shared" si="11"/>
        <v>Low</v>
      </c>
    </row>
    <row r="339" spans="1:14" x14ac:dyDescent="0.3">
      <c r="A339" t="s">
        <v>397</v>
      </c>
      <c r="B339" s="1">
        <v>45639</v>
      </c>
      <c r="C339" s="1" t="str">
        <f t="shared" si="10"/>
        <v>December</v>
      </c>
      <c r="D339" t="s">
        <v>35</v>
      </c>
      <c r="E339" t="s">
        <v>65</v>
      </c>
      <c r="F339" t="s">
        <v>32</v>
      </c>
      <c r="G339">
        <v>2</v>
      </c>
      <c r="H339">
        <v>248.99</v>
      </c>
      <c r="I339" s="3">
        <v>0.25</v>
      </c>
      <c r="J339" t="s">
        <v>16</v>
      </c>
      <c r="K339" t="s">
        <v>23</v>
      </c>
      <c r="L339" t="s">
        <v>33</v>
      </c>
      <c r="M339">
        <v>373.49</v>
      </c>
      <c r="N339" t="str">
        <f t="shared" si="11"/>
        <v>Low</v>
      </c>
    </row>
    <row r="340" spans="1:14" x14ac:dyDescent="0.3">
      <c r="A340" t="s">
        <v>398</v>
      </c>
      <c r="B340" s="1">
        <v>45450</v>
      </c>
      <c r="C340" s="1" t="str">
        <f t="shared" si="10"/>
        <v>June</v>
      </c>
      <c r="D340" t="s">
        <v>20</v>
      </c>
      <c r="E340" t="s">
        <v>78</v>
      </c>
      <c r="F340" t="s">
        <v>1160</v>
      </c>
      <c r="G340">
        <v>4</v>
      </c>
      <c r="H340">
        <v>2277.19</v>
      </c>
      <c r="I340" s="3">
        <v>0.15</v>
      </c>
      <c r="J340" t="s">
        <v>16</v>
      </c>
      <c r="K340" t="s">
        <v>29</v>
      </c>
      <c r="L340" t="s">
        <v>33</v>
      </c>
      <c r="M340">
        <f>Orders[[#This Row],[Quantity]]*Orders[[#This Row],[UnitPrice]]-Orders[[#This Row],[Discount%]]</f>
        <v>9108.61</v>
      </c>
      <c r="N340" t="str">
        <f t="shared" si="11"/>
        <v>Low</v>
      </c>
    </row>
    <row r="341" spans="1:14" x14ac:dyDescent="0.3">
      <c r="A341" t="s">
        <v>399</v>
      </c>
      <c r="B341" s="1">
        <v>45603</v>
      </c>
      <c r="C341" s="1" t="str">
        <f t="shared" si="10"/>
        <v>November</v>
      </c>
      <c r="D341" t="s">
        <v>20</v>
      </c>
      <c r="E341" t="s">
        <v>21</v>
      </c>
      <c r="F341" t="s">
        <v>47</v>
      </c>
      <c r="G341">
        <v>3</v>
      </c>
      <c r="H341">
        <v>4912.2</v>
      </c>
      <c r="I341" s="3">
        <v>0.25</v>
      </c>
      <c r="J341" t="s">
        <v>28</v>
      </c>
      <c r="K341" t="s">
        <v>29</v>
      </c>
      <c r="L341" t="s">
        <v>33</v>
      </c>
      <c r="M341">
        <v>11052.45</v>
      </c>
      <c r="N341" t="str">
        <f t="shared" si="11"/>
        <v>Medium</v>
      </c>
    </row>
    <row r="342" spans="1:14" x14ac:dyDescent="0.3">
      <c r="A342" t="s">
        <v>400</v>
      </c>
      <c r="B342" s="1">
        <v>45589</v>
      </c>
      <c r="C342" s="1" t="str">
        <f t="shared" si="10"/>
        <v>October</v>
      </c>
      <c r="D342" t="s">
        <v>20</v>
      </c>
      <c r="E342" t="s">
        <v>61</v>
      </c>
      <c r="F342" t="s">
        <v>47</v>
      </c>
      <c r="G342">
        <v>3</v>
      </c>
      <c r="H342">
        <v>7109.23</v>
      </c>
      <c r="I342" s="3">
        <v>0</v>
      </c>
      <c r="J342" t="s">
        <v>16</v>
      </c>
      <c r="K342" t="s">
        <v>17</v>
      </c>
      <c r="L342" t="s">
        <v>33</v>
      </c>
      <c r="M342">
        <v>21327.69</v>
      </c>
      <c r="N342" t="str">
        <f t="shared" si="11"/>
        <v>High</v>
      </c>
    </row>
    <row r="343" spans="1:14" x14ac:dyDescent="0.3">
      <c r="A343" t="s">
        <v>401</v>
      </c>
      <c r="B343" s="1">
        <v>45429</v>
      </c>
      <c r="C343" s="1" t="str">
        <f t="shared" si="10"/>
        <v>May</v>
      </c>
      <c r="D343" t="s">
        <v>25</v>
      </c>
      <c r="E343" t="s">
        <v>26</v>
      </c>
      <c r="F343" t="s">
        <v>47</v>
      </c>
      <c r="G343">
        <v>6</v>
      </c>
      <c r="H343">
        <v>3350.84</v>
      </c>
      <c r="I343" s="3">
        <v>0</v>
      </c>
      <c r="J343" t="s">
        <v>55</v>
      </c>
      <c r="K343" t="s">
        <v>29</v>
      </c>
      <c r="L343" t="s">
        <v>33</v>
      </c>
      <c r="M343">
        <v>20105.04</v>
      </c>
      <c r="N343" t="str">
        <f t="shared" si="11"/>
        <v>High</v>
      </c>
    </row>
    <row r="344" spans="1:14" x14ac:dyDescent="0.3">
      <c r="A344" t="s">
        <v>402</v>
      </c>
      <c r="B344" s="1">
        <v>45563</v>
      </c>
      <c r="C344" s="1" t="str">
        <f t="shared" si="10"/>
        <v>September</v>
      </c>
      <c r="D344" t="s">
        <v>20</v>
      </c>
      <c r="E344" t="s">
        <v>78</v>
      </c>
      <c r="F344" t="s">
        <v>53</v>
      </c>
      <c r="G344">
        <v>4</v>
      </c>
      <c r="H344">
        <v>6813.2</v>
      </c>
      <c r="I344" s="3">
        <v>0</v>
      </c>
      <c r="J344" t="s">
        <v>55</v>
      </c>
      <c r="K344" t="s">
        <v>49</v>
      </c>
      <c r="L344" t="s">
        <v>33</v>
      </c>
      <c r="M344">
        <v>27252.799999999999</v>
      </c>
      <c r="N344" t="str">
        <f t="shared" si="11"/>
        <v>High</v>
      </c>
    </row>
    <row r="345" spans="1:14" x14ac:dyDescent="0.3">
      <c r="A345" t="s">
        <v>403</v>
      </c>
      <c r="B345" s="1">
        <v>45584</v>
      </c>
      <c r="C345" s="1" t="str">
        <f t="shared" si="10"/>
        <v>October</v>
      </c>
      <c r="D345" t="s">
        <v>38</v>
      </c>
      <c r="E345" t="s">
        <v>42</v>
      </c>
      <c r="F345" t="s">
        <v>27</v>
      </c>
      <c r="G345">
        <v>4</v>
      </c>
      <c r="H345">
        <v>1574.97</v>
      </c>
      <c r="I345" s="3">
        <v>0.1</v>
      </c>
      <c r="J345" t="s">
        <v>22</v>
      </c>
      <c r="K345" t="s">
        <v>40</v>
      </c>
      <c r="L345" t="s">
        <v>18</v>
      </c>
      <c r="M345">
        <v>5669.89</v>
      </c>
      <c r="N345" t="str">
        <f t="shared" si="11"/>
        <v>Low</v>
      </c>
    </row>
    <row r="346" spans="1:14" x14ac:dyDescent="0.3">
      <c r="A346" t="s">
        <v>404</v>
      </c>
      <c r="B346" s="1">
        <v>45636</v>
      </c>
      <c r="C346" s="1" t="str">
        <f t="shared" si="10"/>
        <v>December</v>
      </c>
      <c r="D346" t="s">
        <v>25</v>
      </c>
      <c r="E346" t="s">
        <v>87</v>
      </c>
      <c r="F346" t="s">
        <v>1160</v>
      </c>
      <c r="G346">
        <v>3</v>
      </c>
      <c r="H346">
        <v>6426.84</v>
      </c>
      <c r="I346" s="3">
        <v>0</v>
      </c>
      <c r="J346" t="s">
        <v>55</v>
      </c>
      <c r="K346" t="s">
        <v>23</v>
      </c>
      <c r="L346" t="s">
        <v>33</v>
      </c>
      <c r="M346">
        <v>19280.52</v>
      </c>
      <c r="N346" t="str">
        <f t="shared" si="11"/>
        <v>Medium</v>
      </c>
    </row>
    <row r="347" spans="1:14" x14ac:dyDescent="0.3">
      <c r="A347" t="s">
        <v>405</v>
      </c>
      <c r="B347" s="1">
        <v>45337</v>
      </c>
      <c r="C347" s="1" t="str">
        <f t="shared" si="10"/>
        <v>February</v>
      </c>
      <c r="D347" t="s">
        <v>13</v>
      </c>
      <c r="E347" t="s">
        <v>14</v>
      </c>
      <c r="F347" t="s">
        <v>15</v>
      </c>
      <c r="G347">
        <v>2</v>
      </c>
      <c r="H347">
        <v>4408.96</v>
      </c>
      <c r="I347" s="3">
        <v>0.2</v>
      </c>
      <c r="J347" t="s">
        <v>16</v>
      </c>
      <c r="K347" t="s">
        <v>17</v>
      </c>
      <c r="L347" t="s">
        <v>33</v>
      </c>
      <c r="M347">
        <v>7054.34</v>
      </c>
      <c r="N347" t="str">
        <f t="shared" si="11"/>
        <v>Low</v>
      </c>
    </row>
    <row r="348" spans="1:14" x14ac:dyDescent="0.3">
      <c r="A348" t="s">
        <v>406</v>
      </c>
      <c r="B348" s="1">
        <v>45428</v>
      </c>
      <c r="C348" s="1" t="str">
        <f t="shared" si="10"/>
        <v>May</v>
      </c>
      <c r="D348" t="s">
        <v>20</v>
      </c>
      <c r="E348" t="s">
        <v>61</v>
      </c>
      <c r="F348" t="s">
        <v>1160</v>
      </c>
      <c r="G348">
        <v>1</v>
      </c>
      <c r="H348">
        <v>430.01</v>
      </c>
      <c r="I348" s="3">
        <v>0.05</v>
      </c>
      <c r="J348" t="s">
        <v>55</v>
      </c>
      <c r="K348" t="s">
        <v>29</v>
      </c>
      <c r="L348" t="s">
        <v>33</v>
      </c>
      <c r="M348">
        <v>408.51</v>
      </c>
      <c r="N348" t="str">
        <f t="shared" si="11"/>
        <v>Low</v>
      </c>
    </row>
    <row r="349" spans="1:14" x14ac:dyDescent="0.3">
      <c r="A349" t="s">
        <v>407</v>
      </c>
      <c r="B349" s="1">
        <v>45381</v>
      </c>
      <c r="C349" s="1" t="str">
        <f t="shared" si="10"/>
        <v>March</v>
      </c>
      <c r="D349" t="s">
        <v>13</v>
      </c>
      <c r="E349" t="s">
        <v>74</v>
      </c>
      <c r="F349" t="s">
        <v>80</v>
      </c>
      <c r="G349">
        <v>4</v>
      </c>
      <c r="H349">
        <v>5590.98</v>
      </c>
      <c r="I349" s="3">
        <v>0.05</v>
      </c>
      <c r="J349" t="s">
        <v>55</v>
      </c>
      <c r="K349" t="s">
        <v>23</v>
      </c>
      <c r="L349" t="s">
        <v>33</v>
      </c>
      <c r="M349">
        <v>21245.72</v>
      </c>
      <c r="N349" t="str">
        <f t="shared" si="11"/>
        <v>High</v>
      </c>
    </row>
    <row r="350" spans="1:14" x14ac:dyDescent="0.3">
      <c r="A350" t="s">
        <v>408</v>
      </c>
      <c r="B350" s="1">
        <v>45446</v>
      </c>
      <c r="C350" s="1" t="str">
        <f t="shared" si="10"/>
        <v>June</v>
      </c>
      <c r="D350" t="s">
        <v>25</v>
      </c>
      <c r="E350" t="s">
        <v>26</v>
      </c>
      <c r="F350" t="s">
        <v>80</v>
      </c>
      <c r="G350">
        <v>6</v>
      </c>
      <c r="H350">
        <v>2157.7600000000002</v>
      </c>
      <c r="I350" s="3">
        <v>0</v>
      </c>
      <c r="J350" t="s">
        <v>28</v>
      </c>
      <c r="K350" t="s">
        <v>40</v>
      </c>
      <c r="L350" t="s">
        <v>33</v>
      </c>
      <c r="M350">
        <v>12946.56</v>
      </c>
      <c r="N350" t="str">
        <f t="shared" si="11"/>
        <v>Medium</v>
      </c>
    </row>
    <row r="351" spans="1:14" x14ac:dyDescent="0.3">
      <c r="A351" t="s">
        <v>409</v>
      </c>
      <c r="B351" s="1">
        <v>45327</v>
      </c>
      <c r="C351" s="1" t="str">
        <f t="shared" si="10"/>
        <v>February</v>
      </c>
      <c r="D351" t="s">
        <v>25</v>
      </c>
      <c r="E351" t="s">
        <v>46</v>
      </c>
      <c r="F351" t="s">
        <v>32</v>
      </c>
      <c r="G351">
        <v>1</v>
      </c>
      <c r="H351">
        <v>6721.16</v>
      </c>
      <c r="I351" s="3">
        <v>0</v>
      </c>
      <c r="J351" t="s">
        <v>22</v>
      </c>
      <c r="K351" t="s">
        <v>23</v>
      </c>
      <c r="L351" t="s">
        <v>18</v>
      </c>
      <c r="M351">
        <v>6721.16</v>
      </c>
      <c r="N351" t="str">
        <f t="shared" si="11"/>
        <v>Low</v>
      </c>
    </row>
    <row r="352" spans="1:14" x14ac:dyDescent="0.3">
      <c r="A352" t="s">
        <v>410</v>
      </c>
      <c r="B352" s="1">
        <v>45337</v>
      </c>
      <c r="C352" s="1" t="str">
        <f t="shared" si="10"/>
        <v>February</v>
      </c>
      <c r="D352" t="s">
        <v>35</v>
      </c>
      <c r="E352" t="s">
        <v>68</v>
      </c>
      <c r="F352" t="s">
        <v>53</v>
      </c>
      <c r="G352">
        <v>2</v>
      </c>
      <c r="H352">
        <v>1316.64</v>
      </c>
      <c r="I352" s="3">
        <v>0.15</v>
      </c>
      <c r="J352" t="s">
        <v>16</v>
      </c>
      <c r="K352" t="s">
        <v>29</v>
      </c>
      <c r="L352" t="s">
        <v>33</v>
      </c>
      <c r="M352">
        <v>2238.29</v>
      </c>
      <c r="N352" t="str">
        <f t="shared" si="11"/>
        <v>Low</v>
      </c>
    </row>
    <row r="353" spans="1:14" x14ac:dyDescent="0.3">
      <c r="A353" t="s">
        <v>411</v>
      </c>
      <c r="B353" s="1">
        <v>45375</v>
      </c>
      <c r="C353" s="1" t="str">
        <f t="shared" si="10"/>
        <v>March</v>
      </c>
      <c r="D353" t="s">
        <v>35</v>
      </c>
      <c r="E353" t="s">
        <v>68</v>
      </c>
      <c r="F353" t="s">
        <v>27</v>
      </c>
      <c r="G353">
        <v>3</v>
      </c>
      <c r="H353">
        <v>867.45</v>
      </c>
      <c r="I353" s="3">
        <v>0</v>
      </c>
      <c r="J353" t="s">
        <v>22</v>
      </c>
      <c r="K353" t="s">
        <v>49</v>
      </c>
      <c r="L353" t="s">
        <v>33</v>
      </c>
      <c r="M353">
        <v>2602.35</v>
      </c>
      <c r="N353" t="str">
        <f t="shared" si="11"/>
        <v>Low</v>
      </c>
    </row>
    <row r="354" spans="1:14" x14ac:dyDescent="0.3">
      <c r="A354" t="s">
        <v>412</v>
      </c>
      <c r="B354" s="1">
        <v>45370</v>
      </c>
      <c r="C354" s="1" t="str">
        <f t="shared" si="10"/>
        <v>March</v>
      </c>
      <c r="D354" t="s">
        <v>20</v>
      </c>
      <c r="E354" t="s">
        <v>61</v>
      </c>
      <c r="F354" t="s">
        <v>32</v>
      </c>
      <c r="G354">
        <v>6</v>
      </c>
      <c r="H354">
        <v>3469.12</v>
      </c>
      <c r="I354" s="3">
        <v>0.1</v>
      </c>
      <c r="J354" t="s">
        <v>22</v>
      </c>
      <c r="K354" t="s">
        <v>40</v>
      </c>
      <c r="L354" t="s">
        <v>33</v>
      </c>
      <c r="M354">
        <v>18733.25</v>
      </c>
      <c r="N354" t="str">
        <f t="shared" si="11"/>
        <v>Medium</v>
      </c>
    </row>
    <row r="355" spans="1:14" x14ac:dyDescent="0.3">
      <c r="A355" t="s">
        <v>413</v>
      </c>
      <c r="B355" s="1">
        <v>45410</v>
      </c>
      <c r="C355" s="1" t="str">
        <f t="shared" si="10"/>
        <v>April</v>
      </c>
      <c r="D355" t="s">
        <v>20</v>
      </c>
      <c r="E355" t="s">
        <v>78</v>
      </c>
      <c r="F355" t="s">
        <v>44</v>
      </c>
      <c r="G355">
        <v>5</v>
      </c>
      <c r="H355">
        <v>882.58</v>
      </c>
      <c r="I355" s="3">
        <v>0.25</v>
      </c>
      <c r="J355" t="s">
        <v>28</v>
      </c>
      <c r="K355" t="s">
        <v>17</v>
      </c>
      <c r="L355" t="s">
        <v>33</v>
      </c>
      <c r="M355">
        <v>3309.68</v>
      </c>
      <c r="N355" t="str">
        <f t="shared" si="11"/>
        <v>Low</v>
      </c>
    </row>
    <row r="356" spans="1:14" x14ac:dyDescent="0.3">
      <c r="A356" t="s">
        <v>414</v>
      </c>
      <c r="B356" s="1">
        <v>45559</v>
      </c>
      <c r="C356" s="1" t="str">
        <f t="shared" si="10"/>
        <v>September</v>
      </c>
      <c r="D356" t="s">
        <v>13</v>
      </c>
      <c r="E356" t="s">
        <v>70</v>
      </c>
      <c r="F356" t="s">
        <v>15</v>
      </c>
      <c r="G356">
        <v>5</v>
      </c>
      <c r="H356">
        <v>2755</v>
      </c>
      <c r="I356" s="3">
        <v>0</v>
      </c>
      <c r="J356" t="s">
        <v>16</v>
      </c>
      <c r="K356" t="s">
        <v>17</v>
      </c>
      <c r="L356" t="s">
        <v>33</v>
      </c>
      <c r="M356">
        <v>13775</v>
      </c>
      <c r="N356" t="str">
        <f t="shared" si="11"/>
        <v>Medium</v>
      </c>
    </row>
    <row r="357" spans="1:14" x14ac:dyDescent="0.3">
      <c r="A357" t="s">
        <v>415</v>
      </c>
      <c r="B357" s="1">
        <v>45631</v>
      </c>
      <c r="C357" s="1" t="str">
        <f t="shared" si="10"/>
        <v>December</v>
      </c>
      <c r="D357" t="s">
        <v>20</v>
      </c>
      <c r="E357" t="s">
        <v>61</v>
      </c>
      <c r="F357" t="s">
        <v>27</v>
      </c>
      <c r="G357">
        <v>3</v>
      </c>
      <c r="H357">
        <v>1180.1400000000001</v>
      </c>
      <c r="I357" s="3">
        <v>0</v>
      </c>
      <c r="J357" t="s">
        <v>16</v>
      </c>
      <c r="K357" t="s">
        <v>29</v>
      </c>
      <c r="L357" t="s">
        <v>33</v>
      </c>
      <c r="M357">
        <v>3540.42</v>
      </c>
      <c r="N357" t="str">
        <f t="shared" si="11"/>
        <v>Low</v>
      </c>
    </row>
    <row r="358" spans="1:14" x14ac:dyDescent="0.3">
      <c r="A358" t="s">
        <v>416</v>
      </c>
      <c r="B358" s="1">
        <v>45320</v>
      </c>
      <c r="C358" s="1" t="str">
        <f t="shared" si="10"/>
        <v>January</v>
      </c>
      <c r="D358" t="s">
        <v>13</v>
      </c>
      <c r="E358" t="s">
        <v>70</v>
      </c>
      <c r="F358" t="s">
        <v>27</v>
      </c>
      <c r="G358">
        <v>5</v>
      </c>
      <c r="H358">
        <v>2626.69</v>
      </c>
      <c r="I358" s="3">
        <v>0.1</v>
      </c>
      <c r="J358" t="s">
        <v>16</v>
      </c>
      <c r="K358" t="s">
        <v>23</v>
      </c>
      <c r="L358" t="s">
        <v>33</v>
      </c>
      <c r="M358">
        <v>11820.11</v>
      </c>
      <c r="N358" t="str">
        <f t="shared" si="11"/>
        <v>Medium</v>
      </c>
    </row>
    <row r="359" spans="1:14" x14ac:dyDescent="0.3">
      <c r="A359" t="s">
        <v>417</v>
      </c>
      <c r="B359" s="1">
        <v>45353</v>
      </c>
      <c r="C359" s="1" t="str">
        <f t="shared" si="10"/>
        <v>March</v>
      </c>
      <c r="D359" t="s">
        <v>35</v>
      </c>
      <c r="E359" t="s">
        <v>63</v>
      </c>
      <c r="F359" t="s">
        <v>80</v>
      </c>
      <c r="G359">
        <v>5</v>
      </c>
      <c r="H359">
        <v>5789.15</v>
      </c>
      <c r="I359" s="3">
        <v>0.15</v>
      </c>
      <c r="J359" t="s">
        <v>22</v>
      </c>
      <c r="K359" t="s">
        <v>40</v>
      </c>
      <c r="L359" t="s">
        <v>33</v>
      </c>
      <c r="M359">
        <v>24603.89</v>
      </c>
      <c r="N359" t="str">
        <f t="shared" si="11"/>
        <v>High</v>
      </c>
    </row>
    <row r="360" spans="1:14" x14ac:dyDescent="0.3">
      <c r="A360" t="s">
        <v>418</v>
      </c>
      <c r="B360" s="1">
        <v>45421</v>
      </c>
      <c r="C360" s="1" t="str">
        <f t="shared" si="10"/>
        <v>May</v>
      </c>
      <c r="D360" t="s">
        <v>38</v>
      </c>
      <c r="E360" t="s">
        <v>39</v>
      </c>
      <c r="F360" t="s">
        <v>53</v>
      </c>
      <c r="G360">
        <v>6</v>
      </c>
      <c r="H360">
        <v>4181.41</v>
      </c>
      <c r="I360" s="3">
        <v>0.25</v>
      </c>
      <c r="J360" t="s">
        <v>16</v>
      </c>
      <c r="K360" t="s">
        <v>49</v>
      </c>
      <c r="L360" t="s">
        <v>33</v>
      </c>
      <c r="M360">
        <v>18816.349999999999</v>
      </c>
      <c r="N360" t="str">
        <f t="shared" si="11"/>
        <v>Medium</v>
      </c>
    </row>
    <row r="361" spans="1:14" x14ac:dyDescent="0.3">
      <c r="A361" t="s">
        <v>419</v>
      </c>
      <c r="B361" s="1">
        <v>45345</v>
      </c>
      <c r="C361" s="1" t="str">
        <f t="shared" si="10"/>
        <v>February</v>
      </c>
      <c r="D361" t="s">
        <v>13</v>
      </c>
      <c r="E361" t="s">
        <v>70</v>
      </c>
      <c r="F361" t="s">
        <v>32</v>
      </c>
      <c r="G361">
        <v>4</v>
      </c>
      <c r="H361">
        <v>839.71</v>
      </c>
      <c r="I361" s="3">
        <v>0.1</v>
      </c>
      <c r="J361" t="s">
        <v>16</v>
      </c>
      <c r="K361" t="s">
        <v>17</v>
      </c>
      <c r="L361" t="s">
        <v>18</v>
      </c>
      <c r="M361">
        <v>3022.96</v>
      </c>
      <c r="N361" t="str">
        <f t="shared" si="11"/>
        <v>Low</v>
      </c>
    </row>
    <row r="362" spans="1:14" x14ac:dyDescent="0.3">
      <c r="A362" t="s">
        <v>420</v>
      </c>
      <c r="B362" s="1">
        <v>45515</v>
      </c>
      <c r="C362" s="1" t="str">
        <f t="shared" si="10"/>
        <v>August</v>
      </c>
      <c r="D362" t="s">
        <v>13</v>
      </c>
      <c r="E362" t="s">
        <v>76</v>
      </c>
      <c r="F362" t="s">
        <v>80</v>
      </c>
      <c r="G362">
        <v>5</v>
      </c>
      <c r="H362">
        <v>822.75</v>
      </c>
      <c r="I362" s="3">
        <v>0.2</v>
      </c>
      <c r="J362" t="s">
        <v>22</v>
      </c>
      <c r="K362" t="s">
        <v>23</v>
      </c>
      <c r="L362" t="s">
        <v>18</v>
      </c>
      <c r="M362">
        <v>3291</v>
      </c>
      <c r="N362" t="str">
        <f t="shared" si="11"/>
        <v>Low</v>
      </c>
    </row>
    <row r="363" spans="1:14" x14ac:dyDescent="0.3">
      <c r="A363" t="s">
        <v>421</v>
      </c>
      <c r="B363" s="1">
        <v>45564</v>
      </c>
      <c r="C363" s="1" t="str">
        <f t="shared" si="10"/>
        <v>September</v>
      </c>
      <c r="D363" t="s">
        <v>35</v>
      </c>
      <c r="E363" t="s">
        <v>97</v>
      </c>
      <c r="F363" t="s">
        <v>47</v>
      </c>
      <c r="G363">
        <v>5</v>
      </c>
      <c r="H363">
        <v>6689.77</v>
      </c>
      <c r="I363" s="3">
        <v>0.05</v>
      </c>
      <c r="J363" t="s">
        <v>16</v>
      </c>
      <c r="K363" t="s">
        <v>40</v>
      </c>
      <c r="L363" t="s">
        <v>33</v>
      </c>
      <c r="M363">
        <v>31776.41</v>
      </c>
      <c r="N363" t="str">
        <f t="shared" si="11"/>
        <v>High</v>
      </c>
    </row>
    <row r="364" spans="1:14" x14ac:dyDescent="0.3">
      <c r="A364" t="s">
        <v>422</v>
      </c>
      <c r="B364" s="1">
        <v>45338</v>
      </c>
      <c r="C364" s="1" t="str">
        <f t="shared" si="10"/>
        <v>February</v>
      </c>
      <c r="D364" t="s">
        <v>38</v>
      </c>
      <c r="E364" t="s">
        <v>51</v>
      </c>
      <c r="F364" t="s">
        <v>53</v>
      </c>
      <c r="G364">
        <v>3</v>
      </c>
      <c r="H364">
        <v>7552.2</v>
      </c>
      <c r="I364" s="3">
        <v>0.2</v>
      </c>
      <c r="J364" t="s">
        <v>55</v>
      </c>
      <c r="K364" t="s">
        <v>17</v>
      </c>
      <c r="L364" t="s">
        <v>33</v>
      </c>
      <c r="M364">
        <v>18125.28</v>
      </c>
      <c r="N364" t="str">
        <f t="shared" si="11"/>
        <v>Medium</v>
      </c>
    </row>
    <row r="365" spans="1:14" x14ac:dyDescent="0.3">
      <c r="A365" t="s">
        <v>423</v>
      </c>
      <c r="B365" s="1">
        <v>45346</v>
      </c>
      <c r="C365" s="1" t="str">
        <f t="shared" si="10"/>
        <v>February</v>
      </c>
      <c r="D365" t="s">
        <v>20</v>
      </c>
      <c r="E365" t="s">
        <v>61</v>
      </c>
      <c r="F365" t="s">
        <v>44</v>
      </c>
      <c r="G365">
        <v>5</v>
      </c>
      <c r="H365">
        <v>2809.98</v>
      </c>
      <c r="I365" s="3">
        <v>0.1</v>
      </c>
      <c r="J365" t="s">
        <v>16</v>
      </c>
      <c r="K365" t="s">
        <v>49</v>
      </c>
      <c r="L365" t="s">
        <v>33</v>
      </c>
      <c r="M365">
        <v>12644.91</v>
      </c>
      <c r="N365" t="str">
        <f t="shared" si="11"/>
        <v>Medium</v>
      </c>
    </row>
    <row r="366" spans="1:14" x14ac:dyDescent="0.3">
      <c r="A366" t="s">
        <v>424</v>
      </c>
      <c r="B366" s="1">
        <v>45641</v>
      </c>
      <c r="C366" s="1" t="str">
        <f t="shared" si="10"/>
        <v>December</v>
      </c>
      <c r="D366" t="s">
        <v>13</v>
      </c>
      <c r="E366" t="s">
        <v>14</v>
      </c>
      <c r="F366" t="s">
        <v>80</v>
      </c>
      <c r="G366">
        <v>2</v>
      </c>
      <c r="H366">
        <v>5328.26</v>
      </c>
      <c r="I366" s="3">
        <v>0</v>
      </c>
      <c r="J366" t="s">
        <v>16</v>
      </c>
      <c r="K366" t="s">
        <v>49</v>
      </c>
      <c r="L366" t="s">
        <v>18</v>
      </c>
      <c r="M366">
        <v>10656.52</v>
      </c>
      <c r="N366" t="str">
        <f t="shared" si="11"/>
        <v>Medium</v>
      </c>
    </row>
    <row r="367" spans="1:14" x14ac:dyDescent="0.3">
      <c r="A367" t="s">
        <v>425</v>
      </c>
      <c r="B367" s="1">
        <v>45454</v>
      </c>
      <c r="C367" s="1" t="str">
        <f t="shared" si="10"/>
        <v>June</v>
      </c>
      <c r="D367" t="s">
        <v>35</v>
      </c>
      <c r="E367" t="s">
        <v>97</v>
      </c>
      <c r="F367" t="s">
        <v>1160</v>
      </c>
      <c r="G367">
        <v>3</v>
      </c>
      <c r="H367">
        <v>7604.43</v>
      </c>
      <c r="I367" s="3">
        <v>0.1</v>
      </c>
      <c r="J367" t="s">
        <v>16</v>
      </c>
      <c r="K367" t="s">
        <v>40</v>
      </c>
      <c r="L367" t="s">
        <v>33</v>
      </c>
      <c r="M367">
        <v>20531.96</v>
      </c>
      <c r="N367" t="str">
        <f t="shared" si="11"/>
        <v>High</v>
      </c>
    </row>
    <row r="368" spans="1:14" x14ac:dyDescent="0.3">
      <c r="A368" t="s">
        <v>426</v>
      </c>
      <c r="B368" s="1">
        <v>45379</v>
      </c>
      <c r="C368" s="1" t="str">
        <f t="shared" si="10"/>
        <v>March</v>
      </c>
      <c r="D368" t="s">
        <v>25</v>
      </c>
      <c r="E368" t="s">
        <v>26</v>
      </c>
      <c r="F368" t="s">
        <v>32</v>
      </c>
      <c r="G368">
        <v>2</v>
      </c>
      <c r="H368">
        <v>6532.17</v>
      </c>
      <c r="I368" s="3">
        <v>0.1</v>
      </c>
      <c r="J368" t="s">
        <v>28</v>
      </c>
      <c r="K368" t="s">
        <v>49</v>
      </c>
      <c r="L368" t="s">
        <v>33</v>
      </c>
      <c r="M368">
        <v>11757.91</v>
      </c>
      <c r="N368" t="str">
        <f t="shared" si="11"/>
        <v>Medium</v>
      </c>
    </row>
    <row r="369" spans="1:14" x14ac:dyDescent="0.3">
      <c r="A369" t="s">
        <v>427</v>
      </c>
      <c r="B369" s="1">
        <v>45455</v>
      </c>
      <c r="C369" s="1" t="str">
        <f t="shared" si="10"/>
        <v>June</v>
      </c>
      <c r="D369" t="s">
        <v>35</v>
      </c>
      <c r="E369" t="s">
        <v>97</v>
      </c>
      <c r="F369" t="s">
        <v>47</v>
      </c>
      <c r="G369">
        <v>2</v>
      </c>
      <c r="H369">
        <v>6878.83</v>
      </c>
      <c r="I369" s="3">
        <v>0</v>
      </c>
      <c r="J369" t="s">
        <v>28</v>
      </c>
      <c r="K369" t="s">
        <v>23</v>
      </c>
      <c r="L369" t="s">
        <v>33</v>
      </c>
      <c r="M369">
        <v>13757.66</v>
      </c>
      <c r="N369" t="str">
        <f t="shared" si="11"/>
        <v>Medium</v>
      </c>
    </row>
    <row r="370" spans="1:14" x14ac:dyDescent="0.3">
      <c r="A370" t="s">
        <v>428</v>
      </c>
      <c r="B370" s="1">
        <v>45343</v>
      </c>
      <c r="C370" s="1" t="str">
        <f t="shared" si="10"/>
        <v>February</v>
      </c>
      <c r="D370" t="s">
        <v>13</v>
      </c>
      <c r="E370" t="s">
        <v>14</v>
      </c>
      <c r="F370" t="s">
        <v>53</v>
      </c>
      <c r="G370">
        <v>1</v>
      </c>
      <c r="H370">
        <v>2718.02</v>
      </c>
      <c r="I370" s="3">
        <v>0</v>
      </c>
      <c r="J370" t="s">
        <v>16</v>
      </c>
      <c r="K370" t="s">
        <v>23</v>
      </c>
      <c r="L370" t="s">
        <v>33</v>
      </c>
      <c r="M370">
        <v>2718.02</v>
      </c>
      <c r="N370" t="str">
        <f t="shared" si="11"/>
        <v>Low</v>
      </c>
    </row>
    <row r="371" spans="1:14" x14ac:dyDescent="0.3">
      <c r="A371" t="s">
        <v>429</v>
      </c>
      <c r="B371" s="1">
        <v>45485</v>
      </c>
      <c r="C371" s="1" t="str">
        <f t="shared" si="10"/>
        <v>July</v>
      </c>
      <c r="D371" t="s">
        <v>38</v>
      </c>
      <c r="E371" t="s">
        <v>100</v>
      </c>
      <c r="F371" t="s">
        <v>44</v>
      </c>
      <c r="G371">
        <v>3</v>
      </c>
      <c r="H371">
        <v>5163.2700000000004</v>
      </c>
      <c r="I371" s="3">
        <v>0.25</v>
      </c>
      <c r="J371" t="s">
        <v>16</v>
      </c>
      <c r="K371" t="s">
        <v>49</v>
      </c>
      <c r="L371" t="s">
        <v>18</v>
      </c>
      <c r="M371">
        <v>11617.36</v>
      </c>
      <c r="N371" t="str">
        <f t="shared" si="11"/>
        <v>Medium</v>
      </c>
    </row>
    <row r="372" spans="1:14" x14ac:dyDescent="0.3">
      <c r="A372" t="s">
        <v>430</v>
      </c>
      <c r="B372" s="1">
        <v>45539</v>
      </c>
      <c r="C372" s="1" t="str">
        <f t="shared" si="10"/>
        <v>September</v>
      </c>
      <c r="D372" t="s">
        <v>25</v>
      </c>
      <c r="E372" t="s">
        <v>94</v>
      </c>
      <c r="F372" t="s">
        <v>53</v>
      </c>
      <c r="G372">
        <v>4</v>
      </c>
      <c r="H372">
        <v>3418.85</v>
      </c>
      <c r="I372" s="3">
        <v>0.1</v>
      </c>
      <c r="J372" t="s">
        <v>16</v>
      </c>
      <c r="K372" t="s">
        <v>40</v>
      </c>
      <c r="L372" t="s">
        <v>18</v>
      </c>
      <c r="M372">
        <v>12307.86</v>
      </c>
      <c r="N372" t="str">
        <f t="shared" si="11"/>
        <v>Medium</v>
      </c>
    </row>
    <row r="373" spans="1:14" x14ac:dyDescent="0.3">
      <c r="A373" t="s">
        <v>431</v>
      </c>
      <c r="B373" s="1">
        <v>45304</v>
      </c>
      <c r="C373" s="1" t="str">
        <f t="shared" si="10"/>
        <v>January</v>
      </c>
      <c r="D373" t="s">
        <v>38</v>
      </c>
      <c r="E373" t="s">
        <v>51</v>
      </c>
      <c r="F373" t="s">
        <v>15</v>
      </c>
      <c r="G373">
        <v>6</v>
      </c>
      <c r="H373">
        <v>1178.27</v>
      </c>
      <c r="I373" s="3">
        <v>0</v>
      </c>
      <c r="J373" t="s">
        <v>16</v>
      </c>
      <c r="K373" t="s">
        <v>23</v>
      </c>
      <c r="L373" t="s">
        <v>18</v>
      </c>
      <c r="M373">
        <v>7069.62</v>
      </c>
      <c r="N373" t="str">
        <f t="shared" si="11"/>
        <v>Low</v>
      </c>
    </row>
    <row r="374" spans="1:14" x14ac:dyDescent="0.3">
      <c r="A374" t="s">
        <v>432</v>
      </c>
      <c r="B374" s="1">
        <v>45372</v>
      </c>
      <c r="C374" s="1" t="str">
        <f t="shared" si="10"/>
        <v>March</v>
      </c>
      <c r="D374" t="s">
        <v>20</v>
      </c>
      <c r="E374" t="s">
        <v>59</v>
      </c>
      <c r="F374" t="s">
        <v>15</v>
      </c>
      <c r="G374">
        <v>4</v>
      </c>
      <c r="H374">
        <v>5150.0200000000004</v>
      </c>
      <c r="I374" s="3">
        <v>0</v>
      </c>
      <c r="J374" t="s">
        <v>55</v>
      </c>
      <c r="K374" t="s">
        <v>23</v>
      </c>
      <c r="L374" t="s">
        <v>33</v>
      </c>
      <c r="M374">
        <v>20600.080000000002</v>
      </c>
      <c r="N374" t="str">
        <f t="shared" si="11"/>
        <v>High</v>
      </c>
    </row>
    <row r="375" spans="1:14" x14ac:dyDescent="0.3">
      <c r="A375" t="s">
        <v>433</v>
      </c>
      <c r="B375" s="1">
        <v>45634</v>
      </c>
      <c r="C375" s="1" t="str">
        <f t="shared" si="10"/>
        <v>December</v>
      </c>
      <c r="D375" t="s">
        <v>25</v>
      </c>
      <c r="E375" t="s">
        <v>94</v>
      </c>
      <c r="F375" t="s">
        <v>32</v>
      </c>
      <c r="G375">
        <v>2</v>
      </c>
      <c r="H375">
        <v>4898.18</v>
      </c>
      <c r="I375" s="3">
        <v>0.2</v>
      </c>
      <c r="J375" t="s">
        <v>28</v>
      </c>
      <c r="K375" t="s">
        <v>40</v>
      </c>
      <c r="L375" t="s">
        <v>33</v>
      </c>
      <c r="M375">
        <v>7837.09</v>
      </c>
      <c r="N375" t="str">
        <f t="shared" si="11"/>
        <v>Low</v>
      </c>
    </row>
    <row r="376" spans="1:14" x14ac:dyDescent="0.3">
      <c r="A376" t="s">
        <v>434</v>
      </c>
      <c r="B376" s="1">
        <v>45550</v>
      </c>
      <c r="C376" s="1" t="str">
        <f t="shared" si="10"/>
        <v>September</v>
      </c>
      <c r="D376" t="s">
        <v>35</v>
      </c>
      <c r="E376" t="s">
        <v>68</v>
      </c>
      <c r="F376" t="s">
        <v>1160</v>
      </c>
      <c r="G376">
        <v>1</v>
      </c>
      <c r="H376">
        <v>7225.68</v>
      </c>
      <c r="I376" s="3">
        <v>0.1</v>
      </c>
      <c r="J376" t="s">
        <v>28</v>
      </c>
      <c r="K376" t="s">
        <v>17</v>
      </c>
      <c r="L376" t="s">
        <v>18</v>
      </c>
      <c r="M376">
        <v>6503.11</v>
      </c>
      <c r="N376" t="str">
        <f t="shared" si="11"/>
        <v>Low</v>
      </c>
    </row>
    <row r="377" spans="1:14" x14ac:dyDescent="0.3">
      <c r="A377" t="s">
        <v>435</v>
      </c>
      <c r="B377" s="1">
        <v>45601</v>
      </c>
      <c r="C377" s="1" t="str">
        <f t="shared" si="10"/>
        <v>November</v>
      </c>
      <c r="D377" t="s">
        <v>38</v>
      </c>
      <c r="E377" t="s">
        <v>164</v>
      </c>
      <c r="F377" t="s">
        <v>27</v>
      </c>
      <c r="G377">
        <v>3</v>
      </c>
      <c r="H377">
        <v>1985.18</v>
      </c>
      <c r="I377" s="3">
        <v>0.1</v>
      </c>
      <c r="J377" t="s">
        <v>28</v>
      </c>
      <c r="K377" t="s">
        <v>23</v>
      </c>
      <c r="L377" t="s">
        <v>33</v>
      </c>
      <c r="M377">
        <v>5359.99</v>
      </c>
      <c r="N377" t="str">
        <f t="shared" si="11"/>
        <v>Low</v>
      </c>
    </row>
    <row r="378" spans="1:14" x14ac:dyDescent="0.3">
      <c r="A378" t="s">
        <v>436</v>
      </c>
      <c r="B378" s="1">
        <v>45556</v>
      </c>
      <c r="C378" s="1" t="str">
        <f t="shared" si="10"/>
        <v>September</v>
      </c>
      <c r="D378" t="s">
        <v>25</v>
      </c>
      <c r="E378" t="s">
        <v>46</v>
      </c>
      <c r="F378" t="s">
        <v>1160</v>
      </c>
      <c r="G378">
        <v>2</v>
      </c>
      <c r="H378">
        <v>1972.43</v>
      </c>
      <c r="I378" s="3">
        <v>0.05</v>
      </c>
      <c r="J378" t="s">
        <v>16</v>
      </c>
      <c r="K378" t="s">
        <v>49</v>
      </c>
      <c r="L378" t="s">
        <v>33</v>
      </c>
      <c r="M378">
        <v>3747.62</v>
      </c>
      <c r="N378" t="str">
        <f t="shared" si="11"/>
        <v>Low</v>
      </c>
    </row>
    <row r="379" spans="1:14" x14ac:dyDescent="0.3">
      <c r="A379" t="s">
        <v>437</v>
      </c>
      <c r="B379" s="1">
        <v>45542</v>
      </c>
      <c r="C379" s="1" t="str">
        <f t="shared" si="10"/>
        <v>September</v>
      </c>
      <c r="D379" t="s">
        <v>13</v>
      </c>
      <c r="E379" t="s">
        <v>74</v>
      </c>
      <c r="F379" t="s">
        <v>32</v>
      </c>
      <c r="G379">
        <v>1</v>
      </c>
      <c r="H379">
        <v>3624.61</v>
      </c>
      <c r="I379" s="3">
        <v>0</v>
      </c>
      <c r="J379" t="s">
        <v>16</v>
      </c>
      <c r="K379" t="s">
        <v>23</v>
      </c>
      <c r="L379" t="s">
        <v>33</v>
      </c>
      <c r="M379">
        <v>3624.61</v>
      </c>
      <c r="N379" t="str">
        <f t="shared" si="11"/>
        <v>Low</v>
      </c>
    </row>
    <row r="380" spans="1:14" x14ac:dyDescent="0.3">
      <c r="A380" t="s">
        <v>438</v>
      </c>
      <c r="B380" s="1">
        <v>45417</v>
      </c>
      <c r="C380" s="1" t="str">
        <f t="shared" si="10"/>
        <v>May</v>
      </c>
      <c r="D380" t="s">
        <v>25</v>
      </c>
      <c r="E380" t="s">
        <v>46</v>
      </c>
      <c r="F380" t="s">
        <v>15</v>
      </c>
      <c r="G380">
        <v>2</v>
      </c>
      <c r="H380">
        <v>1937.27</v>
      </c>
      <c r="I380" s="3">
        <v>0.2</v>
      </c>
      <c r="J380" t="s">
        <v>16</v>
      </c>
      <c r="K380" t="s">
        <v>40</v>
      </c>
      <c r="L380" t="s">
        <v>33</v>
      </c>
      <c r="M380">
        <v>3099.63</v>
      </c>
      <c r="N380" t="str">
        <f t="shared" si="11"/>
        <v>Low</v>
      </c>
    </row>
    <row r="381" spans="1:14" x14ac:dyDescent="0.3">
      <c r="A381" t="s">
        <v>439</v>
      </c>
      <c r="B381" s="1">
        <v>45355</v>
      </c>
      <c r="C381" s="1" t="str">
        <f t="shared" si="10"/>
        <v>March</v>
      </c>
      <c r="D381" t="s">
        <v>20</v>
      </c>
      <c r="E381" t="s">
        <v>57</v>
      </c>
      <c r="F381" t="s">
        <v>80</v>
      </c>
      <c r="G381">
        <v>5</v>
      </c>
      <c r="H381">
        <v>2474.65</v>
      </c>
      <c r="I381" s="3">
        <v>0.2</v>
      </c>
      <c r="J381" t="s">
        <v>55</v>
      </c>
      <c r="K381" t="s">
        <v>29</v>
      </c>
      <c r="L381" t="s">
        <v>33</v>
      </c>
      <c r="M381">
        <v>9898.6</v>
      </c>
      <c r="N381" t="str">
        <f t="shared" si="11"/>
        <v>Low</v>
      </c>
    </row>
    <row r="382" spans="1:14" x14ac:dyDescent="0.3">
      <c r="A382" t="s">
        <v>440</v>
      </c>
      <c r="B382" s="1">
        <v>45595</v>
      </c>
      <c r="C382" s="1" t="str">
        <f t="shared" si="10"/>
        <v>October</v>
      </c>
      <c r="D382" t="s">
        <v>25</v>
      </c>
      <c r="E382" t="s">
        <v>26</v>
      </c>
      <c r="F382" t="s">
        <v>44</v>
      </c>
      <c r="G382">
        <v>5</v>
      </c>
      <c r="H382">
        <v>1285.52</v>
      </c>
      <c r="I382" s="3">
        <v>0.05</v>
      </c>
      <c r="J382" t="s">
        <v>16</v>
      </c>
      <c r="K382" t="s">
        <v>29</v>
      </c>
      <c r="L382" t="s">
        <v>33</v>
      </c>
      <c r="M382">
        <v>6106.22</v>
      </c>
      <c r="N382" t="str">
        <f t="shared" si="11"/>
        <v>Low</v>
      </c>
    </row>
    <row r="383" spans="1:14" x14ac:dyDescent="0.3">
      <c r="A383" t="s">
        <v>441</v>
      </c>
      <c r="B383" s="1">
        <v>45622</v>
      </c>
      <c r="C383" s="1" t="str">
        <f t="shared" si="10"/>
        <v>November</v>
      </c>
      <c r="D383" t="s">
        <v>13</v>
      </c>
      <c r="E383" t="s">
        <v>108</v>
      </c>
      <c r="F383" t="s">
        <v>15</v>
      </c>
      <c r="G383">
        <v>2</v>
      </c>
      <c r="H383">
        <v>3802.54</v>
      </c>
      <c r="I383" s="3">
        <v>0</v>
      </c>
      <c r="J383" t="s">
        <v>16</v>
      </c>
      <c r="K383" t="s">
        <v>17</v>
      </c>
      <c r="L383" t="s">
        <v>33</v>
      </c>
      <c r="M383">
        <v>7605.08</v>
      </c>
      <c r="N383" t="str">
        <f t="shared" si="11"/>
        <v>Low</v>
      </c>
    </row>
    <row r="384" spans="1:14" x14ac:dyDescent="0.3">
      <c r="A384" t="s">
        <v>442</v>
      </c>
      <c r="B384" s="1">
        <v>45575</v>
      </c>
      <c r="C384" s="1" t="str">
        <f t="shared" si="10"/>
        <v>October</v>
      </c>
      <c r="D384" t="s">
        <v>25</v>
      </c>
      <c r="E384" t="s">
        <v>46</v>
      </c>
      <c r="F384" t="s">
        <v>47</v>
      </c>
      <c r="G384">
        <v>6</v>
      </c>
      <c r="H384">
        <v>5352.49</v>
      </c>
      <c r="I384" s="3">
        <v>0</v>
      </c>
      <c r="J384" t="s">
        <v>22</v>
      </c>
      <c r="K384" t="s">
        <v>49</v>
      </c>
      <c r="L384" t="s">
        <v>33</v>
      </c>
      <c r="M384">
        <v>32114.94</v>
      </c>
      <c r="N384" t="str">
        <f t="shared" si="11"/>
        <v>High</v>
      </c>
    </row>
    <row r="385" spans="1:14" x14ac:dyDescent="0.3">
      <c r="A385" t="s">
        <v>443</v>
      </c>
      <c r="B385" s="1">
        <v>45625</v>
      </c>
      <c r="C385" s="1" t="str">
        <f t="shared" si="10"/>
        <v>November</v>
      </c>
      <c r="D385" t="s">
        <v>13</v>
      </c>
      <c r="E385" t="s">
        <v>14</v>
      </c>
      <c r="F385" t="s">
        <v>15</v>
      </c>
      <c r="G385">
        <v>2</v>
      </c>
      <c r="H385">
        <v>2392.4</v>
      </c>
      <c r="I385" s="3">
        <v>0.05</v>
      </c>
      <c r="J385" t="s">
        <v>16</v>
      </c>
      <c r="K385" t="s">
        <v>49</v>
      </c>
      <c r="L385" t="s">
        <v>18</v>
      </c>
      <c r="M385">
        <v>4545.5600000000004</v>
      </c>
      <c r="N385" t="str">
        <f t="shared" si="11"/>
        <v>Low</v>
      </c>
    </row>
    <row r="386" spans="1:14" x14ac:dyDescent="0.3">
      <c r="A386" t="s">
        <v>444</v>
      </c>
      <c r="B386" s="1">
        <v>45619</v>
      </c>
      <c r="C386" s="1" t="str">
        <f t="shared" ref="C386:C449" si="12">TEXT(B386,"mmmm")</f>
        <v>November</v>
      </c>
      <c r="D386" t="s">
        <v>13</v>
      </c>
      <c r="E386" t="s">
        <v>70</v>
      </c>
      <c r="F386" t="s">
        <v>80</v>
      </c>
      <c r="G386">
        <v>4</v>
      </c>
      <c r="H386">
        <v>1062.57</v>
      </c>
      <c r="I386" s="3">
        <v>0.1</v>
      </c>
      <c r="J386" t="s">
        <v>55</v>
      </c>
      <c r="K386" t="s">
        <v>17</v>
      </c>
      <c r="L386" t="s">
        <v>18</v>
      </c>
      <c r="M386">
        <f>Orders[[#This Row],[Quantity]]*Orders[[#This Row],[UnitPrice]]-Orders[[#This Row],[Discount%]]</f>
        <v>4250.1799999999994</v>
      </c>
      <c r="N386" t="str">
        <f t="shared" ref="N386:N449" si="13">IF(M386&gt;20000,"High",IF(M386&gt;10000,"Medium","Low"))</f>
        <v>Low</v>
      </c>
    </row>
    <row r="387" spans="1:14" x14ac:dyDescent="0.3">
      <c r="A387" t="s">
        <v>445</v>
      </c>
      <c r="B387" s="1">
        <v>45433</v>
      </c>
      <c r="C387" s="1" t="str">
        <f t="shared" si="12"/>
        <v>May</v>
      </c>
      <c r="D387" t="s">
        <v>13</v>
      </c>
      <c r="E387" t="s">
        <v>70</v>
      </c>
      <c r="F387" t="s">
        <v>32</v>
      </c>
      <c r="G387">
        <v>3</v>
      </c>
      <c r="H387">
        <v>2410.3200000000002</v>
      </c>
      <c r="I387" s="3">
        <v>0.25</v>
      </c>
      <c r="J387" t="s">
        <v>16</v>
      </c>
      <c r="K387" t="s">
        <v>23</v>
      </c>
      <c r="L387" t="s">
        <v>33</v>
      </c>
      <c r="M387">
        <v>5423.22</v>
      </c>
      <c r="N387" t="str">
        <f t="shared" si="13"/>
        <v>Low</v>
      </c>
    </row>
    <row r="388" spans="1:14" x14ac:dyDescent="0.3">
      <c r="A388" t="s">
        <v>446</v>
      </c>
      <c r="B388" s="1">
        <v>45321</v>
      </c>
      <c r="C388" s="1" t="str">
        <f t="shared" si="12"/>
        <v>January</v>
      </c>
      <c r="D388" t="s">
        <v>13</v>
      </c>
      <c r="E388" t="s">
        <v>14</v>
      </c>
      <c r="F388" t="s">
        <v>1160</v>
      </c>
      <c r="G388">
        <v>4</v>
      </c>
      <c r="H388">
        <v>2221.11</v>
      </c>
      <c r="I388" s="3">
        <v>0</v>
      </c>
      <c r="J388" t="s">
        <v>16</v>
      </c>
      <c r="K388" t="s">
        <v>17</v>
      </c>
      <c r="L388" t="s">
        <v>33</v>
      </c>
      <c r="M388">
        <v>8884.44</v>
      </c>
      <c r="N388" t="str">
        <f t="shared" si="13"/>
        <v>Low</v>
      </c>
    </row>
    <row r="389" spans="1:14" x14ac:dyDescent="0.3">
      <c r="A389" t="s">
        <v>447</v>
      </c>
      <c r="B389" s="1">
        <v>45508</v>
      </c>
      <c r="C389" s="1" t="str">
        <f t="shared" si="12"/>
        <v>August</v>
      </c>
      <c r="D389" t="s">
        <v>35</v>
      </c>
      <c r="E389" t="s">
        <v>65</v>
      </c>
      <c r="F389" t="s">
        <v>15</v>
      </c>
      <c r="G389">
        <v>1</v>
      </c>
      <c r="H389">
        <v>5092.1000000000004</v>
      </c>
      <c r="I389" s="3">
        <v>0.05</v>
      </c>
      <c r="J389" t="s">
        <v>28</v>
      </c>
      <c r="K389" t="s">
        <v>40</v>
      </c>
      <c r="L389" t="s">
        <v>18</v>
      </c>
      <c r="M389">
        <v>4837.49</v>
      </c>
      <c r="N389" t="str">
        <f t="shared" si="13"/>
        <v>Low</v>
      </c>
    </row>
    <row r="390" spans="1:14" x14ac:dyDescent="0.3">
      <c r="A390" t="s">
        <v>448</v>
      </c>
      <c r="B390" s="1">
        <v>45529</v>
      </c>
      <c r="C390" s="1" t="str">
        <f t="shared" si="12"/>
        <v>August</v>
      </c>
      <c r="D390" t="s">
        <v>13</v>
      </c>
      <c r="E390" t="s">
        <v>14</v>
      </c>
      <c r="F390" t="s">
        <v>53</v>
      </c>
      <c r="G390">
        <v>2</v>
      </c>
      <c r="H390">
        <v>990.84</v>
      </c>
      <c r="I390" s="3">
        <v>0.1</v>
      </c>
      <c r="J390" t="s">
        <v>28</v>
      </c>
      <c r="K390" t="s">
        <v>17</v>
      </c>
      <c r="L390" t="s">
        <v>33</v>
      </c>
      <c r="M390">
        <v>1783.51</v>
      </c>
      <c r="N390" t="str">
        <f t="shared" si="13"/>
        <v>Low</v>
      </c>
    </row>
    <row r="391" spans="1:14" x14ac:dyDescent="0.3">
      <c r="A391" t="s">
        <v>449</v>
      </c>
      <c r="B391" s="1">
        <v>45520</v>
      </c>
      <c r="C391" s="1" t="str">
        <f t="shared" si="12"/>
        <v>August</v>
      </c>
      <c r="D391" t="s">
        <v>38</v>
      </c>
      <c r="E391" t="s">
        <v>39</v>
      </c>
      <c r="F391" t="s">
        <v>27</v>
      </c>
      <c r="G391">
        <v>2</v>
      </c>
      <c r="H391">
        <v>3942.14</v>
      </c>
      <c r="I391" s="3">
        <v>0</v>
      </c>
      <c r="J391" t="s">
        <v>22</v>
      </c>
      <c r="K391" t="s">
        <v>29</v>
      </c>
      <c r="L391" t="s">
        <v>18</v>
      </c>
      <c r="M391">
        <v>7884.28</v>
      </c>
      <c r="N391" t="str">
        <f t="shared" si="13"/>
        <v>Low</v>
      </c>
    </row>
    <row r="392" spans="1:14" x14ac:dyDescent="0.3">
      <c r="A392" t="s">
        <v>450</v>
      </c>
      <c r="B392" s="1">
        <v>45517</v>
      </c>
      <c r="C392" s="1" t="str">
        <f t="shared" si="12"/>
        <v>August</v>
      </c>
      <c r="D392" t="s">
        <v>38</v>
      </c>
      <c r="E392" t="s">
        <v>51</v>
      </c>
      <c r="F392" t="s">
        <v>32</v>
      </c>
      <c r="G392">
        <v>5</v>
      </c>
      <c r="H392">
        <v>6358.68</v>
      </c>
      <c r="I392" s="3">
        <v>0</v>
      </c>
      <c r="J392" t="s">
        <v>55</v>
      </c>
      <c r="K392" t="s">
        <v>49</v>
      </c>
      <c r="L392" t="s">
        <v>33</v>
      </c>
      <c r="M392">
        <v>31793.4</v>
      </c>
      <c r="N392" t="str">
        <f t="shared" si="13"/>
        <v>High</v>
      </c>
    </row>
    <row r="393" spans="1:14" x14ac:dyDescent="0.3">
      <c r="A393" t="s">
        <v>451</v>
      </c>
      <c r="B393" s="1">
        <v>45546</v>
      </c>
      <c r="C393" s="1" t="str">
        <f t="shared" si="12"/>
        <v>September</v>
      </c>
      <c r="D393" t="s">
        <v>35</v>
      </c>
      <c r="E393" t="s">
        <v>36</v>
      </c>
      <c r="F393" t="s">
        <v>47</v>
      </c>
      <c r="G393">
        <v>2</v>
      </c>
      <c r="H393">
        <v>5553.6</v>
      </c>
      <c r="I393" s="3">
        <v>0.05</v>
      </c>
      <c r="J393" t="s">
        <v>22</v>
      </c>
      <c r="K393" t="s">
        <v>40</v>
      </c>
      <c r="L393" t="s">
        <v>33</v>
      </c>
      <c r="M393">
        <v>10551.84</v>
      </c>
      <c r="N393" t="str">
        <f t="shared" si="13"/>
        <v>Medium</v>
      </c>
    </row>
    <row r="394" spans="1:14" x14ac:dyDescent="0.3">
      <c r="A394" t="s">
        <v>452</v>
      </c>
      <c r="B394" s="1">
        <v>45631</v>
      </c>
      <c r="C394" s="1" t="str">
        <f t="shared" si="12"/>
        <v>December</v>
      </c>
      <c r="D394" t="s">
        <v>38</v>
      </c>
      <c r="E394" t="s">
        <v>164</v>
      </c>
      <c r="F394" t="s">
        <v>15</v>
      </c>
      <c r="G394">
        <v>4</v>
      </c>
      <c r="H394">
        <v>2770</v>
      </c>
      <c r="I394" s="3">
        <v>0.25</v>
      </c>
      <c r="J394" t="s">
        <v>28</v>
      </c>
      <c r="K394" t="s">
        <v>29</v>
      </c>
      <c r="L394" t="s">
        <v>33</v>
      </c>
      <c r="M394">
        <v>8310</v>
      </c>
      <c r="N394" t="str">
        <f t="shared" si="13"/>
        <v>Low</v>
      </c>
    </row>
    <row r="395" spans="1:14" x14ac:dyDescent="0.3">
      <c r="A395" t="s">
        <v>453</v>
      </c>
      <c r="B395" s="1">
        <v>45454</v>
      </c>
      <c r="C395" s="1" t="str">
        <f t="shared" si="12"/>
        <v>June</v>
      </c>
      <c r="D395" t="s">
        <v>25</v>
      </c>
      <c r="E395" t="s">
        <v>31</v>
      </c>
      <c r="F395" t="s">
        <v>80</v>
      </c>
      <c r="G395">
        <v>6</v>
      </c>
      <c r="H395">
        <v>6096.81</v>
      </c>
      <c r="I395" s="3">
        <v>0.1</v>
      </c>
      <c r="J395" t="s">
        <v>28</v>
      </c>
      <c r="K395" t="s">
        <v>40</v>
      </c>
      <c r="L395" t="s">
        <v>33</v>
      </c>
      <c r="M395">
        <v>32922.769999999997</v>
      </c>
      <c r="N395" t="str">
        <f t="shared" si="13"/>
        <v>High</v>
      </c>
    </row>
    <row r="396" spans="1:14" x14ac:dyDescent="0.3">
      <c r="A396" t="s">
        <v>454</v>
      </c>
      <c r="B396" s="1">
        <v>45334</v>
      </c>
      <c r="C396" s="1" t="str">
        <f t="shared" si="12"/>
        <v>February</v>
      </c>
      <c r="D396" t="s">
        <v>35</v>
      </c>
      <c r="E396" t="s">
        <v>63</v>
      </c>
      <c r="F396" t="s">
        <v>15</v>
      </c>
      <c r="G396">
        <v>5</v>
      </c>
      <c r="H396">
        <v>3402.55</v>
      </c>
      <c r="I396" s="3">
        <v>0.1</v>
      </c>
      <c r="J396" t="s">
        <v>28</v>
      </c>
      <c r="K396" t="s">
        <v>23</v>
      </c>
      <c r="L396" t="s">
        <v>18</v>
      </c>
      <c r="M396">
        <v>15311.48</v>
      </c>
      <c r="N396" t="str">
        <f t="shared" si="13"/>
        <v>Medium</v>
      </c>
    </row>
    <row r="397" spans="1:14" x14ac:dyDescent="0.3">
      <c r="A397" t="s">
        <v>455</v>
      </c>
      <c r="B397" s="1">
        <v>45602</v>
      </c>
      <c r="C397" s="1" t="str">
        <f t="shared" si="12"/>
        <v>November</v>
      </c>
      <c r="D397" t="s">
        <v>38</v>
      </c>
      <c r="E397" t="s">
        <v>100</v>
      </c>
      <c r="F397" t="s">
        <v>53</v>
      </c>
      <c r="G397">
        <v>4</v>
      </c>
      <c r="H397">
        <v>3618.11</v>
      </c>
      <c r="I397" s="3">
        <v>0.1</v>
      </c>
      <c r="J397" t="s">
        <v>16</v>
      </c>
      <c r="K397" t="s">
        <v>29</v>
      </c>
      <c r="L397" t="s">
        <v>33</v>
      </c>
      <c r="M397">
        <v>13025.2</v>
      </c>
      <c r="N397" t="str">
        <f t="shared" si="13"/>
        <v>Medium</v>
      </c>
    </row>
    <row r="398" spans="1:14" x14ac:dyDescent="0.3">
      <c r="A398" t="s">
        <v>456</v>
      </c>
      <c r="B398" s="1">
        <v>45481</v>
      </c>
      <c r="C398" s="1" t="str">
        <f t="shared" si="12"/>
        <v>July</v>
      </c>
      <c r="D398" t="s">
        <v>35</v>
      </c>
      <c r="E398" t="s">
        <v>97</v>
      </c>
      <c r="F398" t="s">
        <v>27</v>
      </c>
      <c r="G398">
        <v>2</v>
      </c>
      <c r="H398">
        <v>7371.56</v>
      </c>
      <c r="I398" s="3">
        <v>0.2</v>
      </c>
      <c r="J398" t="s">
        <v>28</v>
      </c>
      <c r="K398" t="s">
        <v>29</v>
      </c>
      <c r="L398" t="s">
        <v>33</v>
      </c>
      <c r="M398">
        <v>11794.5</v>
      </c>
      <c r="N398" t="str">
        <f t="shared" si="13"/>
        <v>Medium</v>
      </c>
    </row>
    <row r="399" spans="1:14" x14ac:dyDescent="0.3">
      <c r="A399" t="s">
        <v>457</v>
      </c>
      <c r="B399" s="1">
        <v>45366</v>
      </c>
      <c r="C399" s="1" t="str">
        <f t="shared" si="12"/>
        <v>March</v>
      </c>
      <c r="D399" t="s">
        <v>38</v>
      </c>
      <c r="E399" t="s">
        <v>42</v>
      </c>
      <c r="F399" t="s">
        <v>32</v>
      </c>
      <c r="G399">
        <v>6</v>
      </c>
      <c r="H399">
        <v>2467.06</v>
      </c>
      <c r="I399" s="3">
        <v>0.05</v>
      </c>
      <c r="J399" t="s">
        <v>16</v>
      </c>
      <c r="K399" t="s">
        <v>40</v>
      </c>
      <c r="L399" t="s">
        <v>33</v>
      </c>
      <c r="M399">
        <v>14062.24</v>
      </c>
      <c r="N399" t="str">
        <f t="shared" si="13"/>
        <v>Medium</v>
      </c>
    </row>
    <row r="400" spans="1:14" x14ac:dyDescent="0.3">
      <c r="A400" t="s">
        <v>458</v>
      </c>
      <c r="B400" s="1">
        <v>45333</v>
      </c>
      <c r="C400" s="1" t="str">
        <f t="shared" si="12"/>
        <v>February</v>
      </c>
      <c r="D400" t="s">
        <v>38</v>
      </c>
      <c r="E400" t="s">
        <v>42</v>
      </c>
      <c r="F400" t="s">
        <v>53</v>
      </c>
      <c r="G400">
        <v>1</v>
      </c>
      <c r="H400">
        <v>1840.98</v>
      </c>
      <c r="I400" s="3">
        <v>0.25</v>
      </c>
      <c r="J400" t="s">
        <v>22</v>
      </c>
      <c r="K400" t="s">
        <v>23</v>
      </c>
      <c r="L400" t="s">
        <v>18</v>
      </c>
      <c r="M400">
        <v>1380.74</v>
      </c>
      <c r="N400" t="str">
        <f t="shared" si="13"/>
        <v>Low</v>
      </c>
    </row>
    <row r="401" spans="1:14" x14ac:dyDescent="0.3">
      <c r="A401" t="s">
        <v>459</v>
      </c>
      <c r="B401" s="1">
        <v>45464</v>
      </c>
      <c r="C401" s="1" t="str">
        <f t="shared" si="12"/>
        <v>June</v>
      </c>
      <c r="D401" t="s">
        <v>20</v>
      </c>
      <c r="E401" t="s">
        <v>57</v>
      </c>
      <c r="F401" t="s">
        <v>27</v>
      </c>
      <c r="G401">
        <v>2</v>
      </c>
      <c r="H401">
        <v>1435.79</v>
      </c>
      <c r="I401" s="3">
        <v>0.1</v>
      </c>
      <c r="J401" t="s">
        <v>55</v>
      </c>
      <c r="K401" t="s">
        <v>23</v>
      </c>
      <c r="L401" t="s">
        <v>33</v>
      </c>
      <c r="M401">
        <v>2584.42</v>
      </c>
      <c r="N401" t="str">
        <f t="shared" si="13"/>
        <v>Low</v>
      </c>
    </row>
    <row r="402" spans="1:14" x14ac:dyDescent="0.3">
      <c r="A402" t="s">
        <v>460</v>
      </c>
      <c r="B402" s="1">
        <v>45400</v>
      </c>
      <c r="C402" s="1" t="str">
        <f t="shared" si="12"/>
        <v>April</v>
      </c>
      <c r="D402" t="s">
        <v>35</v>
      </c>
      <c r="E402" t="s">
        <v>65</v>
      </c>
      <c r="F402" t="s">
        <v>44</v>
      </c>
      <c r="G402">
        <v>1</v>
      </c>
      <c r="H402">
        <v>3418.16</v>
      </c>
      <c r="I402" s="3">
        <v>0.25</v>
      </c>
      <c r="J402" t="s">
        <v>16</v>
      </c>
      <c r="K402" t="s">
        <v>49</v>
      </c>
      <c r="L402" t="s">
        <v>33</v>
      </c>
      <c r="M402">
        <v>2563.62</v>
      </c>
      <c r="N402" t="str">
        <f t="shared" si="13"/>
        <v>Low</v>
      </c>
    </row>
    <row r="403" spans="1:14" x14ac:dyDescent="0.3">
      <c r="A403" t="s">
        <v>461</v>
      </c>
      <c r="B403" s="1">
        <v>45575</v>
      </c>
      <c r="C403" s="1" t="str">
        <f t="shared" si="12"/>
        <v>October</v>
      </c>
      <c r="D403" t="s">
        <v>13</v>
      </c>
      <c r="E403" t="s">
        <v>14</v>
      </c>
      <c r="F403" t="s">
        <v>53</v>
      </c>
      <c r="G403">
        <v>3</v>
      </c>
      <c r="H403">
        <v>3330.38</v>
      </c>
      <c r="I403" s="3">
        <v>0.05</v>
      </c>
      <c r="J403" t="s">
        <v>16</v>
      </c>
      <c r="K403" t="s">
        <v>40</v>
      </c>
      <c r="L403" t="s">
        <v>33</v>
      </c>
      <c r="M403">
        <v>9491.58</v>
      </c>
      <c r="N403" t="str">
        <f t="shared" si="13"/>
        <v>Low</v>
      </c>
    </row>
    <row r="404" spans="1:14" x14ac:dyDescent="0.3">
      <c r="A404" t="s">
        <v>462</v>
      </c>
      <c r="B404" s="1">
        <v>45467</v>
      </c>
      <c r="C404" s="1" t="str">
        <f t="shared" si="12"/>
        <v>June</v>
      </c>
      <c r="D404" t="s">
        <v>25</v>
      </c>
      <c r="E404" t="s">
        <v>46</v>
      </c>
      <c r="F404" t="s">
        <v>47</v>
      </c>
      <c r="G404">
        <v>1</v>
      </c>
      <c r="H404">
        <v>3036.27</v>
      </c>
      <c r="I404" s="3">
        <v>0</v>
      </c>
      <c r="J404" t="s">
        <v>16</v>
      </c>
      <c r="K404" t="s">
        <v>23</v>
      </c>
      <c r="L404" t="s">
        <v>33</v>
      </c>
      <c r="M404">
        <v>3036.27</v>
      </c>
      <c r="N404" t="str">
        <f t="shared" si="13"/>
        <v>Low</v>
      </c>
    </row>
    <row r="405" spans="1:14" x14ac:dyDescent="0.3">
      <c r="A405" t="s">
        <v>463</v>
      </c>
      <c r="B405" s="1">
        <v>45526</v>
      </c>
      <c r="C405" s="1" t="str">
        <f t="shared" si="12"/>
        <v>August</v>
      </c>
      <c r="D405" t="s">
        <v>35</v>
      </c>
      <c r="E405" t="s">
        <v>97</v>
      </c>
      <c r="F405" t="s">
        <v>1160</v>
      </c>
      <c r="G405">
        <v>1</v>
      </c>
      <c r="H405">
        <v>7660.63</v>
      </c>
      <c r="I405" s="3">
        <v>0.25</v>
      </c>
      <c r="J405" t="s">
        <v>22</v>
      </c>
      <c r="K405" t="s">
        <v>17</v>
      </c>
      <c r="L405" t="s">
        <v>33</v>
      </c>
      <c r="M405">
        <v>5745.47</v>
      </c>
      <c r="N405" t="str">
        <f t="shared" si="13"/>
        <v>Low</v>
      </c>
    </row>
    <row r="406" spans="1:14" x14ac:dyDescent="0.3">
      <c r="A406" t="s">
        <v>464</v>
      </c>
      <c r="B406" s="1">
        <v>45388</v>
      </c>
      <c r="C406" s="1" t="str">
        <f t="shared" si="12"/>
        <v>April</v>
      </c>
      <c r="D406" t="s">
        <v>25</v>
      </c>
      <c r="E406" t="s">
        <v>26</v>
      </c>
      <c r="F406" t="s">
        <v>80</v>
      </c>
      <c r="G406">
        <v>5</v>
      </c>
      <c r="H406">
        <v>1644.8</v>
      </c>
      <c r="I406" s="3">
        <v>0.1</v>
      </c>
      <c r="J406" t="s">
        <v>22</v>
      </c>
      <c r="K406" t="s">
        <v>49</v>
      </c>
      <c r="L406" t="s">
        <v>18</v>
      </c>
      <c r="M406">
        <f>Orders[[#This Row],[Quantity]]*Orders[[#This Row],[UnitPrice]]-Orders[[#This Row],[Discount%]]</f>
        <v>8223.9</v>
      </c>
      <c r="N406" t="str">
        <f t="shared" si="13"/>
        <v>Low</v>
      </c>
    </row>
    <row r="407" spans="1:14" x14ac:dyDescent="0.3">
      <c r="A407" t="s">
        <v>465</v>
      </c>
      <c r="B407" s="1">
        <v>45413</v>
      </c>
      <c r="C407" s="1" t="str">
        <f t="shared" si="12"/>
        <v>May</v>
      </c>
      <c r="D407" t="s">
        <v>20</v>
      </c>
      <c r="E407" t="s">
        <v>57</v>
      </c>
      <c r="F407" t="s">
        <v>53</v>
      </c>
      <c r="G407">
        <v>6</v>
      </c>
      <c r="H407">
        <v>1016.34</v>
      </c>
      <c r="I407" s="3">
        <v>0.1</v>
      </c>
      <c r="J407" t="s">
        <v>16</v>
      </c>
      <c r="K407" t="s">
        <v>40</v>
      </c>
      <c r="L407" t="s">
        <v>33</v>
      </c>
      <c r="M407">
        <f>Orders[[#This Row],[Quantity]]*Orders[[#This Row],[UnitPrice]]-Orders[[#This Row],[Discount%]]</f>
        <v>6097.94</v>
      </c>
      <c r="N407" t="str">
        <f t="shared" si="13"/>
        <v>Low</v>
      </c>
    </row>
    <row r="408" spans="1:14" x14ac:dyDescent="0.3">
      <c r="A408" t="s">
        <v>466</v>
      </c>
      <c r="B408" s="1">
        <v>45583</v>
      </c>
      <c r="C408" s="1" t="str">
        <f t="shared" si="12"/>
        <v>October</v>
      </c>
      <c r="D408" t="s">
        <v>35</v>
      </c>
      <c r="E408" t="s">
        <v>97</v>
      </c>
      <c r="F408" t="s">
        <v>80</v>
      </c>
      <c r="G408">
        <v>6</v>
      </c>
      <c r="H408">
        <v>219.41</v>
      </c>
      <c r="I408" s="3">
        <v>0.2</v>
      </c>
      <c r="J408" t="s">
        <v>16</v>
      </c>
      <c r="K408" t="s">
        <v>23</v>
      </c>
      <c r="L408" t="s">
        <v>33</v>
      </c>
      <c r="M408">
        <f>Orders[[#This Row],[Quantity]]*Orders[[#This Row],[UnitPrice]]-Orders[[#This Row],[Discount%]]</f>
        <v>1316.26</v>
      </c>
      <c r="N408" t="str">
        <f t="shared" si="13"/>
        <v>Low</v>
      </c>
    </row>
    <row r="409" spans="1:14" x14ac:dyDescent="0.3">
      <c r="A409" t="s">
        <v>467</v>
      </c>
      <c r="B409" s="1">
        <v>45354</v>
      </c>
      <c r="C409" s="1" t="str">
        <f t="shared" si="12"/>
        <v>March</v>
      </c>
      <c r="D409" t="s">
        <v>20</v>
      </c>
      <c r="E409" t="s">
        <v>21</v>
      </c>
      <c r="F409" t="s">
        <v>1160</v>
      </c>
      <c r="G409">
        <v>3</v>
      </c>
      <c r="H409">
        <v>4745.96</v>
      </c>
      <c r="I409" s="3">
        <v>0.15</v>
      </c>
      <c r="J409" t="s">
        <v>22</v>
      </c>
      <c r="K409" t="s">
        <v>17</v>
      </c>
      <c r="L409" t="s">
        <v>18</v>
      </c>
      <c r="M409">
        <v>12102.2</v>
      </c>
      <c r="N409" t="str">
        <f t="shared" si="13"/>
        <v>Medium</v>
      </c>
    </row>
    <row r="410" spans="1:14" x14ac:dyDescent="0.3">
      <c r="A410" t="s">
        <v>468</v>
      </c>
      <c r="B410" s="1">
        <v>45511</v>
      </c>
      <c r="C410" s="1" t="str">
        <f t="shared" si="12"/>
        <v>August</v>
      </c>
      <c r="D410" t="s">
        <v>13</v>
      </c>
      <c r="E410" t="s">
        <v>70</v>
      </c>
      <c r="F410" t="s">
        <v>47</v>
      </c>
      <c r="G410">
        <v>3</v>
      </c>
      <c r="H410">
        <v>6985.91</v>
      </c>
      <c r="I410" s="3">
        <v>0</v>
      </c>
      <c r="J410" t="s">
        <v>16</v>
      </c>
      <c r="K410" t="s">
        <v>23</v>
      </c>
      <c r="L410" t="s">
        <v>33</v>
      </c>
      <c r="M410">
        <v>20957.73</v>
      </c>
      <c r="N410" t="str">
        <f t="shared" si="13"/>
        <v>High</v>
      </c>
    </row>
    <row r="411" spans="1:14" x14ac:dyDescent="0.3">
      <c r="A411" t="s">
        <v>469</v>
      </c>
      <c r="B411" s="1">
        <v>45475</v>
      </c>
      <c r="C411" s="1" t="str">
        <f t="shared" si="12"/>
        <v>July</v>
      </c>
      <c r="D411" t="s">
        <v>13</v>
      </c>
      <c r="E411" t="s">
        <v>70</v>
      </c>
      <c r="F411" t="s">
        <v>47</v>
      </c>
      <c r="G411">
        <v>3</v>
      </c>
      <c r="H411">
        <v>2152.29</v>
      </c>
      <c r="I411" s="3">
        <v>0.05</v>
      </c>
      <c r="J411" t="s">
        <v>16</v>
      </c>
      <c r="K411" t="s">
        <v>23</v>
      </c>
      <c r="L411" t="s">
        <v>33</v>
      </c>
      <c r="M411">
        <v>6134.03</v>
      </c>
      <c r="N411" t="str">
        <f t="shared" si="13"/>
        <v>Low</v>
      </c>
    </row>
    <row r="412" spans="1:14" x14ac:dyDescent="0.3">
      <c r="A412" t="s">
        <v>470</v>
      </c>
      <c r="B412" s="1">
        <v>45578</v>
      </c>
      <c r="C412" s="1" t="str">
        <f t="shared" si="12"/>
        <v>October</v>
      </c>
      <c r="D412" t="s">
        <v>25</v>
      </c>
      <c r="E412" t="s">
        <v>94</v>
      </c>
      <c r="F412" t="s">
        <v>53</v>
      </c>
      <c r="G412">
        <v>4</v>
      </c>
      <c r="H412">
        <v>3389.68</v>
      </c>
      <c r="I412" s="3">
        <v>0</v>
      </c>
      <c r="J412" t="s">
        <v>22</v>
      </c>
      <c r="K412" t="s">
        <v>23</v>
      </c>
      <c r="L412" t="s">
        <v>33</v>
      </c>
      <c r="M412">
        <v>13558.72</v>
      </c>
      <c r="N412" t="str">
        <f t="shared" si="13"/>
        <v>Medium</v>
      </c>
    </row>
    <row r="413" spans="1:14" x14ac:dyDescent="0.3">
      <c r="A413" t="s">
        <v>471</v>
      </c>
      <c r="B413" s="1">
        <v>45593</v>
      </c>
      <c r="C413" s="1" t="str">
        <f t="shared" si="12"/>
        <v>October</v>
      </c>
      <c r="D413" t="s">
        <v>20</v>
      </c>
      <c r="E413" t="s">
        <v>21</v>
      </c>
      <c r="F413" t="s">
        <v>44</v>
      </c>
      <c r="G413">
        <v>4</v>
      </c>
      <c r="H413">
        <v>3520.44</v>
      </c>
      <c r="I413" s="3">
        <v>0.25</v>
      </c>
      <c r="J413" t="s">
        <v>16</v>
      </c>
      <c r="K413" t="s">
        <v>49</v>
      </c>
      <c r="L413" t="s">
        <v>33</v>
      </c>
      <c r="M413">
        <v>10561.32</v>
      </c>
      <c r="N413" t="str">
        <f t="shared" si="13"/>
        <v>Medium</v>
      </c>
    </row>
    <row r="414" spans="1:14" x14ac:dyDescent="0.3">
      <c r="A414" t="s">
        <v>472</v>
      </c>
      <c r="B414" s="1">
        <v>45393</v>
      </c>
      <c r="C414" s="1" t="str">
        <f t="shared" si="12"/>
        <v>April</v>
      </c>
      <c r="D414" t="s">
        <v>35</v>
      </c>
      <c r="E414" t="s">
        <v>36</v>
      </c>
      <c r="F414" t="s">
        <v>47</v>
      </c>
      <c r="G414">
        <v>1</v>
      </c>
      <c r="H414">
        <v>2189.4299999999998</v>
      </c>
      <c r="I414" s="3">
        <v>0.15</v>
      </c>
      <c r="J414" t="s">
        <v>16</v>
      </c>
      <c r="K414" t="s">
        <v>17</v>
      </c>
      <c r="L414" t="s">
        <v>33</v>
      </c>
      <c r="M414">
        <v>1861.02</v>
      </c>
      <c r="N414" t="str">
        <f t="shared" si="13"/>
        <v>Low</v>
      </c>
    </row>
    <row r="415" spans="1:14" x14ac:dyDescent="0.3">
      <c r="A415" t="s">
        <v>473</v>
      </c>
      <c r="B415" s="1">
        <v>45513</v>
      </c>
      <c r="C415" s="1" t="str">
        <f t="shared" si="12"/>
        <v>August</v>
      </c>
      <c r="D415" t="s">
        <v>20</v>
      </c>
      <c r="E415" t="s">
        <v>61</v>
      </c>
      <c r="F415" t="s">
        <v>27</v>
      </c>
      <c r="G415">
        <v>3</v>
      </c>
      <c r="H415">
        <v>7462.39</v>
      </c>
      <c r="I415" s="3">
        <v>0</v>
      </c>
      <c r="J415" t="s">
        <v>22</v>
      </c>
      <c r="K415" t="s">
        <v>23</v>
      </c>
      <c r="L415" t="s">
        <v>18</v>
      </c>
      <c r="M415">
        <v>22387.17</v>
      </c>
      <c r="N415" t="str">
        <f t="shared" si="13"/>
        <v>High</v>
      </c>
    </row>
    <row r="416" spans="1:14" x14ac:dyDescent="0.3">
      <c r="A416" t="s">
        <v>474</v>
      </c>
      <c r="B416" s="1">
        <v>45463</v>
      </c>
      <c r="C416" s="1" t="str">
        <f t="shared" si="12"/>
        <v>June</v>
      </c>
      <c r="D416" t="s">
        <v>13</v>
      </c>
      <c r="E416" t="s">
        <v>70</v>
      </c>
      <c r="F416" t="s">
        <v>32</v>
      </c>
      <c r="G416">
        <v>1</v>
      </c>
      <c r="H416">
        <v>954.3</v>
      </c>
      <c r="I416" s="3">
        <v>0.1</v>
      </c>
      <c r="J416" t="s">
        <v>28</v>
      </c>
      <c r="K416" t="s">
        <v>17</v>
      </c>
      <c r="L416" t="s">
        <v>18</v>
      </c>
      <c r="M416">
        <v>858.87</v>
      </c>
      <c r="N416" t="str">
        <f t="shared" si="13"/>
        <v>Low</v>
      </c>
    </row>
    <row r="417" spans="1:14" x14ac:dyDescent="0.3">
      <c r="A417" t="s">
        <v>475</v>
      </c>
      <c r="B417" s="1">
        <v>45651</v>
      </c>
      <c r="C417" s="1" t="str">
        <f t="shared" si="12"/>
        <v>December</v>
      </c>
      <c r="D417" t="s">
        <v>20</v>
      </c>
      <c r="E417" t="s">
        <v>78</v>
      </c>
      <c r="F417" t="s">
        <v>32</v>
      </c>
      <c r="G417">
        <v>2</v>
      </c>
      <c r="H417">
        <v>5345.63</v>
      </c>
      <c r="I417" s="3">
        <v>0</v>
      </c>
      <c r="J417" t="s">
        <v>16</v>
      </c>
      <c r="K417" t="s">
        <v>23</v>
      </c>
      <c r="L417" t="s">
        <v>33</v>
      </c>
      <c r="M417">
        <v>10691.26</v>
      </c>
      <c r="N417" t="str">
        <f t="shared" si="13"/>
        <v>Medium</v>
      </c>
    </row>
    <row r="418" spans="1:14" x14ac:dyDescent="0.3">
      <c r="A418" t="s">
        <v>476</v>
      </c>
      <c r="B418" s="1">
        <v>45497</v>
      </c>
      <c r="C418" s="1" t="str">
        <f t="shared" si="12"/>
        <v>July</v>
      </c>
      <c r="D418" t="s">
        <v>13</v>
      </c>
      <c r="E418" t="s">
        <v>14</v>
      </c>
      <c r="F418" t="s">
        <v>32</v>
      </c>
      <c r="G418">
        <v>4</v>
      </c>
      <c r="H418">
        <v>5554.15</v>
      </c>
      <c r="I418" s="3">
        <v>0.2</v>
      </c>
      <c r="J418" t="s">
        <v>16</v>
      </c>
      <c r="K418" t="s">
        <v>40</v>
      </c>
      <c r="L418" t="s">
        <v>33</v>
      </c>
      <c r="M418">
        <v>17773.28</v>
      </c>
      <c r="N418" t="str">
        <f t="shared" si="13"/>
        <v>Medium</v>
      </c>
    </row>
    <row r="419" spans="1:14" x14ac:dyDescent="0.3">
      <c r="A419" t="s">
        <v>477</v>
      </c>
      <c r="B419" s="1">
        <v>45391</v>
      </c>
      <c r="C419" s="1" t="str">
        <f t="shared" si="12"/>
        <v>April</v>
      </c>
      <c r="D419" t="s">
        <v>25</v>
      </c>
      <c r="E419" t="s">
        <v>87</v>
      </c>
      <c r="F419" t="s">
        <v>27</v>
      </c>
      <c r="G419">
        <v>1</v>
      </c>
      <c r="H419">
        <v>5408.12</v>
      </c>
      <c r="I419" s="3">
        <v>0.25</v>
      </c>
      <c r="J419" t="s">
        <v>28</v>
      </c>
      <c r="K419" t="s">
        <v>17</v>
      </c>
      <c r="L419" t="s">
        <v>33</v>
      </c>
      <c r="M419">
        <v>4056.09</v>
      </c>
      <c r="N419" t="str">
        <f t="shared" si="13"/>
        <v>Low</v>
      </c>
    </row>
    <row r="420" spans="1:14" x14ac:dyDescent="0.3">
      <c r="A420" t="s">
        <v>478</v>
      </c>
      <c r="B420" s="1">
        <v>45515</v>
      </c>
      <c r="C420" s="1" t="str">
        <f t="shared" si="12"/>
        <v>August</v>
      </c>
      <c r="D420" t="s">
        <v>20</v>
      </c>
      <c r="E420" t="s">
        <v>21</v>
      </c>
      <c r="F420" t="s">
        <v>44</v>
      </c>
      <c r="G420">
        <v>2</v>
      </c>
      <c r="H420">
        <v>5330.9</v>
      </c>
      <c r="I420" s="3">
        <v>0</v>
      </c>
      <c r="J420" t="s">
        <v>22</v>
      </c>
      <c r="K420" t="s">
        <v>40</v>
      </c>
      <c r="L420" t="s">
        <v>18</v>
      </c>
      <c r="M420">
        <v>10661.8</v>
      </c>
      <c r="N420" t="str">
        <f t="shared" si="13"/>
        <v>Medium</v>
      </c>
    </row>
    <row r="421" spans="1:14" x14ac:dyDescent="0.3">
      <c r="A421" t="s">
        <v>479</v>
      </c>
      <c r="B421" s="1">
        <v>45405</v>
      </c>
      <c r="C421" s="1" t="str">
        <f t="shared" si="12"/>
        <v>April</v>
      </c>
      <c r="D421" t="s">
        <v>13</v>
      </c>
      <c r="E421" t="s">
        <v>14</v>
      </c>
      <c r="F421" t="s">
        <v>32</v>
      </c>
      <c r="G421">
        <v>5</v>
      </c>
      <c r="H421">
        <v>7595.13</v>
      </c>
      <c r="I421" s="3">
        <v>0.1</v>
      </c>
      <c r="J421" t="s">
        <v>16</v>
      </c>
      <c r="K421" t="s">
        <v>23</v>
      </c>
      <c r="L421" t="s">
        <v>33</v>
      </c>
      <c r="M421">
        <v>34178.080000000002</v>
      </c>
      <c r="N421" t="str">
        <f t="shared" si="13"/>
        <v>High</v>
      </c>
    </row>
    <row r="422" spans="1:14" x14ac:dyDescent="0.3">
      <c r="A422" t="s">
        <v>480</v>
      </c>
      <c r="B422" s="1">
        <v>45359</v>
      </c>
      <c r="C422" s="1" t="str">
        <f t="shared" si="12"/>
        <v>March</v>
      </c>
      <c r="D422" t="s">
        <v>38</v>
      </c>
      <c r="E422" t="s">
        <v>164</v>
      </c>
      <c r="F422" t="s">
        <v>32</v>
      </c>
      <c r="G422">
        <v>1</v>
      </c>
      <c r="H422">
        <v>4419.6099999999997</v>
      </c>
      <c r="I422" s="3">
        <v>0.2</v>
      </c>
      <c r="J422" t="s">
        <v>16</v>
      </c>
      <c r="K422" t="s">
        <v>40</v>
      </c>
      <c r="L422" t="s">
        <v>33</v>
      </c>
      <c r="M422">
        <v>3535.69</v>
      </c>
      <c r="N422" t="str">
        <f t="shared" si="13"/>
        <v>Low</v>
      </c>
    </row>
    <row r="423" spans="1:14" x14ac:dyDescent="0.3">
      <c r="A423" t="s">
        <v>481</v>
      </c>
      <c r="B423" s="1">
        <v>45370</v>
      </c>
      <c r="C423" s="1" t="str">
        <f t="shared" si="12"/>
        <v>March</v>
      </c>
      <c r="D423" t="s">
        <v>35</v>
      </c>
      <c r="E423" t="s">
        <v>63</v>
      </c>
      <c r="F423" t="s">
        <v>32</v>
      </c>
      <c r="G423">
        <v>1</v>
      </c>
      <c r="H423">
        <v>7011.72</v>
      </c>
      <c r="I423" s="3">
        <v>0</v>
      </c>
      <c r="J423" t="s">
        <v>16</v>
      </c>
      <c r="K423" t="s">
        <v>49</v>
      </c>
      <c r="L423" t="s">
        <v>33</v>
      </c>
      <c r="M423">
        <v>7011.72</v>
      </c>
      <c r="N423" t="str">
        <f t="shared" si="13"/>
        <v>Low</v>
      </c>
    </row>
    <row r="424" spans="1:14" x14ac:dyDescent="0.3">
      <c r="A424" t="s">
        <v>482</v>
      </c>
      <c r="B424" s="1">
        <v>45451</v>
      </c>
      <c r="C424" s="1" t="str">
        <f t="shared" si="12"/>
        <v>June</v>
      </c>
      <c r="D424" t="s">
        <v>25</v>
      </c>
      <c r="E424" t="s">
        <v>94</v>
      </c>
      <c r="F424" t="s">
        <v>1160</v>
      </c>
      <c r="G424">
        <v>5</v>
      </c>
      <c r="H424">
        <v>1752.73</v>
      </c>
      <c r="I424" s="3">
        <v>0.15</v>
      </c>
      <c r="J424" t="s">
        <v>16</v>
      </c>
      <c r="K424" t="s">
        <v>29</v>
      </c>
      <c r="L424" t="s">
        <v>33</v>
      </c>
      <c r="M424">
        <v>7449.1</v>
      </c>
      <c r="N424" t="str">
        <f t="shared" si="13"/>
        <v>Low</v>
      </c>
    </row>
    <row r="425" spans="1:14" x14ac:dyDescent="0.3">
      <c r="A425" t="s">
        <v>483</v>
      </c>
      <c r="B425" s="1">
        <v>45512</v>
      </c>
      <c r="C425" s="1" t="str">
        <f t="shared" si="12"/>
        <v>August</v>
      </c>
      <c r="D425" t="s">
        <v>25</v>
      </c>
      <c r="E425" t="s">
        <v>31</v>
      </c>
      <c r="F425" t="s">
        <v>15</v>
      </c>
      <c r="G425">
        <v>6</v>
      </c>
      <c r="H425">
        <v>4842.68</v>
      </c>
      <c r="I425" s="3">
        <v>0</v>
      </c>
      <c r="J425" t="s">
        <v>28</v>
      </c>
      <c r="K425" t="s">
        <v>29</v>
      </c>
      <c r="L425" t="s">
        <v>33</v>
      </c>
      <c r="M425">
        <v>29056.080000000002</v>
      </c>
      <c r="N425" t="str">
        <f t="shared" si="13"/>
        <v>High</v>
      </c>
    </row>
    <row r="426" spans="1:14" x14ac:dyDescent="0.3">
      <c r="A426" t="s">
        <v>484</v>
      </c>
      <c r="B426" s="1">
        <v>45570</v>
      </c>
      <c r="C426" s="1" t="str">
        <f t="shared" si="12"/>
        <v>October</v>
      </c>
      <c r="D426" t="s">
        <v>20</v>
      </c>
      <c r="E426" t="s">
        <v>57</v>
      </c>
      <c r="F426" t="s">
        <v>15</v>
      </c>
      <c r="G426">
        <v>3</v>
      </c>
      <c r="H426">
        <v>2450.62</v>
      </c>
      <c r="I426" s="3">
        <v>0</v>
      </c>
      <c r="J426" t="s">
        <v>16</v>
      </c>
      <c r="K426" t="s">
        <v>29</v>
      </c>
      <c r="L426" t="s">
        <v>33</v>
      </c>
      <c r="M426">
        <v>7351.86</v>
      </c>
      <c r="N426" t="str">
        <f t="shared" si="13"/>
        <v>Low</v>
      </c>
    </row>
    <row r="427" spans="1:14" x14ac:dyDescent="0.3">
      <c r="A427" t="s">
        <v>485</v>
      </c>
      <c r="B427" s="1">
        <v>45476</v>
      </c>
      <c r="C427" s="1" t="str">
        <f t="shared" si="12"/>
        <v>July</v>
      </c>
      <c r="D427" t="s">
        <v>38</v>
      </c>
      <c r="E427" t="s">
        <v>100</v>
      </c>
      <c r="F427" t="s">
        <v>53</v>
      </c>
      <c r="G427">
        <v>6</v>
      </c>
      <c r="H427">
        <v>5285.1</v>
      </c>
      <c r="I427" s="3">
        <v>0.1</v>
      </c>
      <c r="J427" t="s">
        <v>55</v>
      </c>
      <c r="K427" t="s">
        <v>29</v>
      </c>
      <c r="L427" t="s">
        <v>18</v>
      </c>
      <c r="M427">
        <v>28539.54</v>
      </c>
      <c r="N427" t="str">
        <f t="shared" si="13"/>
        <v>High</v>
      </c>
    </row>
    <row r="428" spans="1:14" x14ac:dyDescent="0.3">
      <c r="A428" t="s">
        <v>486</v>
      </c>
      <c r="B428" s="1">
        <v>45308</v>
      </c>
      <c r="C428" s="1" t="str">
        <f t="shared" si="12"/>
        <v>January</v>
      </c>
      <c r="D428" t="s">
        <v>13</v>
      </c>
      <c r="E428" t="s">
        <v>108</v>
      </c>
      <c r="F428" t="s">
        <v>15</v>
      </c>
      <c r="G428">
        <v>4</v>
      </c>
      <c r="H428">
        <v>7701.54</v>
      </c>
      <c r="I428" s="3">
        <v>0.1</v>
      </c>
      <c r="J428" t="s">
        <v>16</v>
      </c>
      <c r="K428" t="s">
        <v>23</v>
      </c>
      <c r="L428" t="s">
        <v>33</v>
      </c>
      <c r="M428">
        <v>27725.54</v>
      </c>
      <c r="N428" t="str">
        <f t="shared" si="13"/>
        <v>High</v>
      </c>
    </row>
    <row r="429" spans="1:14" x14ac:dyDescent="0.3">
      <c r="A429" t="s">
        <v>487</v>
      </c>
      <c r="B429" s="1">
        <v>45430</v>
      </c>
      <c r="C429" s="1" t="str">
        <f t="shared" si="12"/>
        <v>May</v>
      </c>
      <c r="D429" t="s">
        <v>35</v>
      </c>
      <c r="E429" t="s">
        <v>97</v>
      </c>
      <c r="F429" t="s">
        <v>1160</v>
      </c>
      <c r="G429">
        <v>4</v>
      </c>
      <c r="H429">
        <v>489.34</v>
      </c>
      <c r="I429" s="3">
        <v>0.05</v>
      </c>
      <c r="J429" t="s">
        <v>16</v>
      </c>
      <c r="K429" t="s">
        <v>29</v>
      </c>
      <c r="L429" t="s">
        <v>33</v>
      </c>
      <c r="M429">
        <v>1859.49</v>
      </c>
      <c r="N429" t="str">
        <f t="shared" si="13"/>
        <v>Low</v>
      </c>
    </row>
    <row r="430" spans="1:14" x14ac:dyDescent="0.3">
      <c r="A430" t="s">
        <v>488</v>
      </c>
      <c r="B430" s="1">
        <v>45435</v>
      </c>
      <c r="C430" s="1" t="str">
        <f t="shared" si="12"/>
        <v>May</v>
      </c>
      <c r="D430" t="s">
        <v>20</v>
      </c>
      <c r="E430" t="s">
        <v>61</v>
      </c>
      <c r="F430" t="s">
        <v>80</v>
      </c>
      <c r="G430">
        <v>1</v>
      </c>
      <c r="H430">
        <v>7388.28</v>
      </c>
      <c r="I430" s="3">
        <v>0.1</v>
      </c>
      <c r="J430" t="s">
        <v>16</v>
      </c>
      <c r="K430" t="s">
        <v>23</v>
      </c>
      <c r="L430" t="s">
        <v>33</v>
      </c>
      <c r="M430">
        <v>6649.45</v>
      </c>
      <c r="N430" t="str">
        <f t="shared" si="13"/>
        <v>Low</v>
      </c>
    </row>
    <row r="431" spans="1:14" x14ac:dyDescent="0.3">
      <c r="A431" t="s">
        <v>489</v>
      </c>
      <c r="B431" s="1">
        <v>45431</v>
      </c>
      <c r="C431" s="1" t="str">
        <f t="shared" si="12"/>
        <v>May</v>
      </c>
      <c r="D431" t="s">
        <v>25</v>
      </c>
      <c r="E431" t="s">
        <v>31</v>
      </c>
      <c r="F431" t="s">
        <v>53</v>
      </c>
      <c r="G431">
        <v>4</v>
      </c>
      <c r="H431">
        <v>4157.51</v>
      </c>
      <c r="I431" s="3">
        <v>0.1</v>
      </c>
      <c r="J431" t="s">
        <v>16</v>
      </c>
      <c r="K431" t="s">
        <v>40</v>
      </c>
      <c r="L431" t="s">
        <v>33</v>
      </c>
      <c r="M431">
        <v>14967.04</v>
      </c>
      <c r="N431" t="str">
        <f t="shared" si="13"/>
        <v>Medium</v>
      </c>
    </row>
    <row r="432" spans="1:14" x14ac:dyDescent="0.3">
      <c r="A432" t="s">
        <v>490</v>
      </c>
      <c r="B432" s="1">
        <v>45611</v>
      </c>
      <c r="C432" s="1" t="str">
        <f t="shared" si="12"/>
        <v>November</v>
      </c>
      <c r="D432" t="s">
        <v>13</v>
      </c>
      <c r="E432" t="s">
        <v>14</v>
      </c>
      <c r="F432" t="s">
        <v>32</v>
      </c>
      <c r="G432">
        <v>6</v>
      </c>
      <c r="H432">
        <v>1629.1</v>
      </c>
      <c r="I432" s="3">
        <v>0</v>
      </c>
      <c r="J432" t="s">
        <v>28</v>
      </c>
      <c r="K432" t="s">
        <v>23</v>
      </c>
      <c r="L432" t="s">
        <v>33</v>
      </c>
      <c r="M432">
        <v>9774.6</v>
      </c>
      <c r="N432" t="str">
        <f t="shared" si="13"/>
        <v>Low</v>
      </c>
    </row>
    <row r="433" spans="1:14" x14ac:dyDescent="0.3">
      <c r="A433" t="s">
        <v>491</v>
      </c>
      <c r="B433" s="1">
        <v>45354</v>
      </c>
      <c r="C433" s="1" t="str">
        <f t="shared" si="12"/>
        <v>March</v>
      </c>
      <c r="D433" t="s">
        <v>38</v>
      </c>
      <c r="E433" t="s">
        <v>51</v>
      </c>
      <c r="F433" t="s">
        <v>80</v>
      </c>
      <c r="G433">
        <v>1</v>
      </c>
      <c r="H433">
        <v>4637.28</v>
      </c>
      <c r="I433" s="3">
        <v>0</v>
      </c>
      <c r="J433" t="s">
        <v>28</v>
      </c>
      <c r="K433" t="s">
        <v>29</v>
      </c>
      <c r="L433" t="s">
        <v>18</v>
      </c>
      <c r="M433">
        <v>4637.28</v>
      </c>
      <c r="N433" t="str">
        <f t="shared" si="13"/>
        <v>Low</v>
      </c>
    </row>
    <row r="434" spans="1:14" x14ac:dyDescent="0.3">
      <c r="A434" t="s">
        <v>492</v>
      </c>
      <c r="B434" s="1">
        <v>45496</v>
      </c>
      <c r="C434" s="1" t="str">
        <f t="shared" si="12"/>
        <v>July</v>
      </c>
      <c r="D434" t="s">
        <v>20</v>
      </c>
      <c r="E434" t="s">
        <v>21</v>
      </c>
      <c r="F434" t="s">
        <v>80</v>
      </c>
      <c r="G434">
        <v>2</v>
      </c>
      <c r="H434">
        <v>5282.96</v>
      </c>
      <c r="I434" s="3">
        <v>0.2</v>
      </c>
      <c r="J434" t="s">
        <v>16</v>
      </c>
      <c r="K434" t="s">
        <v>49</v>
      </c>
      <c r="L434" t="s">
        <v>33</v>
      </c>
      <c r="M434">
        <v>8452.74</v>
      </c>
      <c r="N434" t="str">
        <f t="shared" si="13"/>
        <v>Low</v>
      </c>
    </row>
    <row r="435" spans="1:14" x14ac:dyDescent="0.3">
      <c r="A435" t="s">
        <v>493</v>
      </c>
      <c r="B435" s="1">
        <v>45531</v>
      </c>
      <c r="C435" s="1" t="str">
        <f t="shared" si="12"/>
        <v>August</v>
      </c>
      <c r="D435" t="s">
        <v>13</v>
      </c>
      <c r="E435" t="s">
        <v>74</v>
      </c>
      <c r="F435" t="s">
        <v>44</v>
      </c>
      <c r="G435">
        <v>1</v>
      </c>
      <c r="H435">
        <v>576.87</v>
      </c>
      <c r="I435" s="3">
        <v>0.2</v>
      </c>
      <c r="J435" t="s">
        <v>55</v>
      </c>
      <c r="K435" t="s">
        <v>49</v>
      </c>
      <c r="L435" t="s">
        <v>33</v>
      </c>
      <c r="M435">
        <v>461.5</v>
      </c>
      <c r="N435" t="str">
        <f t="shared" si="13"/>
        <v>Low</v>
      </c>
    </row>
    <row r="436" spans="1:14" x14ac:dyDescent="0.3">
      <c r="A436" t="s">
        <v>494</v>
      </c>
      <c r="B436" s="1">
        <v>45517</v>
      </c>
      <c r="C436" s="1" t="str">
        <f t="shared" si="12"/>
        <v>August</v>
      </c>
      <c r="D436" t="s">
        <v>20</v>
      </c>
      <c r="E436" t="s">
        <v>21</v>
      </c>
      <c r="F436" t="s">
        <v>27</v>
      </c>
      <c r="G436">
        <v>1</v>
      </c>
      <c r="H436">
        <v>2588.75</v>
      </c>
      <c r="I436" s="3">
        <v>0.1</v>
      </c>
      <c r="J436" t="s">
        <v>22</v>
      </c>
      <c r="K436" t="s">
        <v>17</v>
      </c>
      <c r="L436" t="s">
        <v>33</v>
      </c>
      <c r="M436">
        <v>2329.88</v>
      </c>
      <c r="N436" t="str">
        <f t="shared" si="13"/>
        <v>Low</v>
      </c>
    </row>
    <row r="437" spans="1:14" x14ac:dyDescent="0.3">
      <c r="A437" t="s">
        <v>495</v>
      </c>
      <c r="B437" s="1">
        <v>45651</v>
      </c>
      <c r="C437" s="1" t="str">
        <f t="shared" si="12"/>
        <v>December</v>
      </c>
      <c r="D437" t="s">
        <v>25</v>
      </c>
      <c r="E437" t="s">
        <v>87</v>
      </c>
      <c r="F437" t="s">
        <v>27</v>
      </c>
      <c r="G437">
        <v>3</v>
      </c>
      <c r="H437">
        <v>4201.42</v>
      </c>
      <c r="I437" s="3">
        <v>0.05</v>
      </c>
      <c r="J437" t="s">
        <v>16</v>
      </c>
      <c r="K437" t="s">
        <v>23</v>
      </c>
      <c r="L437" t="s">
        <v>33</v>
      </c>
      <c r="M437">
        <v>11974.05</v>
      </c>
      <c r="N437" t="str">
        <f t="shared" si="13"/>
        <v>Medium</v>
      </c>
    </row>
    <row r="438" spans="1:14" x14ac:dyDescent="0.3">
      <c r="A438" t="s">
        <v>496</v>
      </c>
      <c r="B438" s="1">
        <v>45600</v>
      </c>
      <c r="C438" s="1" t="str">
        <f t="shared" si="12"/>
        <v>November</v>
      </c>
      <c r="D438" t="s">
        <v>38</v>
      </c>
      <c r="E438" t="s">
        <v>100</v>
      </c>
      <c r="F438" t="s">
        <v>80</v>
      </c>
      <c r="G438">
        <v>5</v>
      </c>
      <c r="H438">
        <v>4540.2</v>
      </c>
      <c r="I438" s="3">
        <v>0.1</v>
      </c>
      <c r="J438" t="s">
        <v>16</v>
      </c>
      <c r="K438" t="s">
        <v>29</v>
      </c>
      <c r="L438" t="s">
        <v>33</v>
      </c>
      <c r="M438">
        <v>20430.900000000001</v>
      </c>
      <c r="N438" t="str">
        <f t="shared" si="13"/>
        <v>High</v>
      </c>
    </row>
    <row r="439" spans="1:14" x14ac:dyDescent="0.3">
      <c r="A439" t="s">
        <v>497</v>
      </c>
      <c r="B439" s="1">
        <v>45465</v>
      </c>
      <c r="C439" s="1" t="str">
        <f t="shared" si="12"/>
        <v>June</v>
      </c>
      <c r="D439" t="s">
        <v>20</v>
      </c>
      <c r="E439" t="s">
        <v>59</v>
      </c>
      <c r="F439" t="s">
        <v>53</v>
      </c>
      <c r="G439">
        <v>2</v>
      </c>
      <c r="H439">
        <v>3426.67</v>
      </c>
      <c r="I439" s="3">
        <v>0.15</v>
      </c>
      <c r="J439" t="s">
        <v>16</v>
      </c>
      <c r="K439" t="s">
        <v>17</v>
      </c>
      <c r="L439" t="s">
        <v>33</v>
      </c>
      <c r="M439">
        <v>5825.34</v>
      </c>
      <c r="N439" t="str">
        <f t="shared" si="13"/>
        <v>Low</v>
      </c>
    </row>
    <row r="440" spans="1:14" x14ac:dyDescent="0.3">
      <c r="A440" t="s">
        <v>498</v>
      </c>
      <c r="B440" s="1">
        <v>45380</v>
      </c>
      <c r="C440" s="1" t="str">
        <f t="shared" si="12"/>
        <v>March</v>
      </c>
      <c r="D440" t="s">
        <v>38</v>
      </c>
      <c r="E440" t="s">
        <v>100</v>
      </c>
      <c r="F440" t="s">
        <v>1160</v>
      </c>
      <c r="G440">
        <v>6</v>
      </c>
      <c r="H440">
        <v>3739.45</v>
      </c>
      <c r="I440" s="3">
        <v>0.15</v>
      </c>
      <c r="J440" t="s">
        <v>22</v>
      </c>
      <c r="K440" t="s">
        <v>17</v>
      </c>
      <c r="L440" t="s">
        <v>18</v>
      </c>
      <c r="M440">
        <v>19071.189999999999</v>
      </c>
      <c r="N440" t="str">
        <f t="shared" si="13"/>
        <v>Medium</v>
      </c>
    </row>
    <row r="441" spans="1:14" x14ac:dyDescent="0.3">
      <c r="A441" t="s">
        <v>499</v>
      </c>
      <c r="B441" s="1">
        <v>45393</v>
      </c>
      <c r="C441" s="1" t="str">
        <f t="shared" si="12"/>
        <v>April</v>
      </c>
      <c r="D441" t="s">
        <v>38</v>
      </c>
      <c r="E441" t="s">
        <v>51</v>
      </c>
      <c r="F441" t="s">
        <v>44</v>
      </c>
      <c r="G441">
        <v>5</v>
      </c>
      <c r="H441">
        <v>1507.98</v>
      </c>
      <c r="I441" s="3">
        <v>0.05</v>
      </c>
      <c r="J441" t="s">
        <v>22</v>
      </c>
      <c r="K441" t="s">
        <v>23</v>
      </c>
      <c r="L441" t="s">
        <v>33</v>
      </c>
      <c r="M441">
        <v>7162.9</v>
      </c>
      <c r="N441" t="str">
        <f t="shared" si="13"/>
        <v>Low</v>
      </c>
    </row>
    <row r="442" spans="1:14" x14ac:dyDescent="0.3">
      <c r="A442" t="s">
        <v>500</v>
      </c>
      <c r="B442" s="1">
        <v>45539</v>
      </c>
      <c r="C442" s="1" t="str">
        <f t="shared" si="12"/>
        <v>September</v>
      </c>
      <c r="D442" t="s">
        <v>13</v>
      </c>
      <c r="E442" t="s">
        <v>70</v>
      </c>
      <c r="F442" t="s">
        <v>47</v>
      </c>
      <c r="G442">
        <v>6</v>
      </c>
      <c r="H442">
        <v>4990.22</v>
      </c>
      <c r="I442" s="3">
        <v>0.05</v>
      </c>
      <c r="J442" t="s">
        <v>16</v>
      </c>
      <c r="K442" t="s">
        <v>49</v>
      </c>
      <c r="L442" t="s">
        <v>33</v>
      </c>
      <c r="M442">
        <v>28444.25</v>
      </c>
      <c r="N442" t="str">
        <f t="shared" si="13"/>
        <v>High</v>
      </c>
    </row>
    <row r="443" spans="1:14" x14ac:dyDescent="0.3">
      <c r="A443" t="s">
        <v>501</v>
      </c>
      <c r="B443" s="1">
        <v>45478</v>
      </c>
      <c r="C443" s="1" t="str">
        <f t="shared" si="12"/>
        <v>July</v>
      </c>
      <c r="D443" t="s">
        <v>38</v>
      </c>
      <c r="E443" t="s">
        <v>100</v>
      </c>
      <c r="F443" t="s">
        <v>47</v>
      </c>
      <c r="G443">
        <v>4</v>
      </c>
      <c r="H443">
        <v>3670.53</v>
      </c>
      <c r="I443" s="3">
        <v>0.05</v>
      </c>
      <c r="J443" t="s">
        <v>16</v>
      </c>
      <c r="K443" t="s">
        <v>49</v>
      </c>
      <c r="L443" t="s">
        <v>33</v>
      </c>
      <c r="M443">
        <v>13948.01</v>
      </c>
      <c r="N443" t="str">
        <f t="shared" si="13"/>
        <v>Medium</v>
      </c>
    </row>
    <row r="444" spans="1:14" x14ac:dyDescent="0.3">
      <c r="A444" t="s">
        <v>502</v>
      </c>
      <c r="B444" s="1">
        <v>45558</v>
      </c>
      <c r="C444" s="1" t="str">
        <f t="shared" si="12"/>
        <v>September</v>
      </c>
      <c r="D444" t="s">
        <v>13</v>
      </c>
      <c r="E444" t="s">
        <v>76</v>
      </c>
      <c r="F444" t="s">
        <v>47</v>
      </c>
      <c r="G444">
        <v>1</v>
      </c>
      <c r="H444">
        <v>273.67</v>
      </c>
      <c r="I444" s="3">
        <v>0.1</v>
      </c>
      <c r="J444" t="s">
        <v>55</v>
      </c>
      <c r="K444" t="s">
        <v>23</v>
      </c>
      <c r="L444" t="s">
        <v>33</v>
      </c>
      <c r="M444">
        <v>246.3</v>
      </c>
      <c r="N444" t="str">
        <f t="shared" si="13"/>
        <v>Low</v>
      </c>
    </row>
    <row r="445" spans="1:14" x14ac:dyDescent="0.3">
      <c r="A445" t="s">
        <v>503</v>
      </c>
      <c r="B445" s="1">
        <v>45359</v>
      </c>
      <c r="C445" s="1" t="str">
        <f t="shared" si="12"/>
        <v>March</v>
      </c>
      <c r="D445" t="s">
        <v>13</v>
      </c>
      <c r="E445" t="s">
        <v>108</v>
      </c>
      <c r="F445" t="s">
        <v>32</v>
      </c>
      <c r="G445">
        <v>3</v>
      </c>
      <c r="H445">
        <v>3075.86</v>
      </c>
      <c r="I445" s="3">
        <v>0</v>
      </c>
      <c r="J445" t="s">
        <v>16</v>
      </c>
      <c r="K445" t="s">
        <v>29</v>
      </c>
      <c r="L445" t="s">
        <v>33</v>
      </c>
      <c r="M445">
        <v>9227.58</v>
      </c>
      <c r="N445" t="str">
        <f t="shared" si="13"/>
        <v>Low</v>
      </c>
    </row>
    <row r="446" spans="1:14" x14ac:dyDescent="0.3">
      <c r="A446" t="s">
        <v>504</v>
      </c>
      <c r="B446" s="1">
        <v>45600</v>
      </c>
      <c r="C446" s="1" t="str">
        <f t="shared" si="12"/>
        <v>November</v>
      </c>
      <c r="D446" t="s">
        <v>35</v>
      </c>
      <c r="E446" t="s">
        <v>63</v>
      </c>
      <c r="F446" t="s">
        <v>44</v>
      </c>
      <c r="G446">
        <v>3</v>
      </c>
      <c r="H446">
        <v>4491.51</v>
      </c>
      <c r="I446" s="3">
        <v>0</v>
      </c>
      <c r="J446" t="s">
        <v>16</v>
      </c>
      <c r="K446" t="s">
        <v>49</v>
      </c>
      <c r="L446" t="s">
        <v>33</v>
      </c>
      <c r="M446">
        <v>13474.53</v>
      </c>
      <c r="N446" t="str">
        <f t="shared" si="13"/>
        <v>Medium</v>
      </c>
    </row>
    <row r="447" spans="1:14" x14ac:dyDescent="0.3">
      <c r="A447" t="s">
        <v>505</v>
      </c>
      <c r="B447" s="1">
        <v>45487</v>
      </c>
      <c r="C447" s="1" t="str">
        <f t="shared" si="12"/>
        <v>July</v>
      </c>
      <c r="D447" t="s">
        <v>25</v>
      </c>
      <c r="E447" t="s">
        <v>94</v>
      </c>
      <c r="F447" t="s">
        <v>47</v>
      </c>
      <c r="G447">
        <v>6</v>
      </c>
      <c r="H447">
        <v>4411.04</v>
      </c>
      <c r="I447" s="3">
        <v>0.2</v>
      </c>
      <c r="J447" t="s">
        <v>55</v>
      </c>
      <c r="K447" t="s">
        <v>49</v>
      </c>
      <c r="L447" t="s">
        <v>33</v>
      </c>
      <c r="M447">
        <v>21172.99</v>
      </c>
      <c r="N447" t="str">
        <f t="shared" si="13"/>
        <v>High</v>
      </c>
    </row>
    <row r="448" spans="1:14" x14ac:dyDescent="0.3">
      <c r="A448" t="s">
        <v>506</v>
      </c>
      <c r="B448" s="1">
        <v>45315</v>
      </c>
      <c r="C448" s="1" t="str">
        <f t="shared" si="12"/>
        <v>January</v>
      </c>
      <c r="D448" t="s">
        <v>20</v>
      </c>
      <c r="E448" t="s">
        <v>59</v>
      </c>
      <c r="F448" t="s">
        <v>15</v>
      </c>
      <c r="G448">
        <v>2</v>
      </c>
      <c r="H448">
        <v>895.55</v>
      </c>
      <c r="I448" s="3">
        <v>0.25</v>
      </c>
      <c r="J448" t="s">
        <v>16</v>
      </c>
      <c r="K448" t="s">
        <v>29</v>
      </c>
      <c r="L448" t="s">
        <v>33</v>
      </c>
      <c r="M448">
        <v>1343.32</v>
      </c>
      <c r="N448" t="str">
        <f t="shared" si="13"/>
        <v>Low</v>
      </c>
    </row>
    <row r="449" spans="1:14" x14ac:dyDescent="0.3">
      <c r="A449" t="s">
        <v>507</v>
      </c>
      <c r="B449" s="1">
        <v>45546</v>
      </c>
      <c r="C449" s="1" t="str">
        <f t="shared" si="12"/>
        <v>September</v>
      </c>
      <c r="D449" t="s">
        <v>20</v>
      </c>
      <c r="E449" t="s">
        <v>61</v>
      </c>
      <c r="F449" t="s">
        <v>80</v>
      </c>
      <c r="G449">
        <v>6</v>
      </c>
      <c r="H449">
        <v>7311.34</v>
      </c>
      <c r="I449" s="3">
        <v>0.2</v>
      </c>
      <c r="J449" t="s">
        <v>16</v>
      </c>
      <c r="K449" t="s">
        <v>49</v>
      </c>
      <c r="L449" t="s">
        <v>33</v>
      </c>
      <c r="M449">
        <v>35094.43</v>
      </c>
      <c r="N449" t="str">
        <f t="shared" si="13"/>
        <v>High</v>
      </c>
    </row>
    <row r="450" spans="1:14" x14ac:dyDescent="0.3">
      <c r="A450" t="s">
        <v>508</v>
      </c>
      <c r="B450" s="1">
        <v>45584</v>
      </c>
      <c r="C450" s="1" t="str">
        <f t="shared" ref="C450:C513" si="14">TEXT(B450,"mmmm")</f>
        <v>October</v>
      </c>
      <c r="D450" t="s">
        <v>20</v>
      </c>
      <c r="E450" t="s">
        <v>61</v>
      </c>
      <c r="F450" t="s">
        <v>80</v>
      </c>
      <c r="G450">
        <v>1</v>
      </c>
      <c r="H450">
        <v>2219.9299999999998</v>
      </c>
      <c r="I450" s="3">
        <v>0.15</v>
      </c>
      <c r="J450" t="s">
        <v>22</v>
      </c>
      <c r="K450" t="s">
        <v>29</v>
      </c>
      <c r="L450" t="s">
        <v>33</v>
      </c>
      <c r="M450">
        <v>1886.94</v>
      </c>
      <c r="N450" t="str">
        <f t="shared" ref="N450:N513" si="15">IF(M450&gt;20000,"High",IF(M450&gt;10000,"Medium","Low"))</f>
        <v>Low</v>
      </c>
    </row>
    <row r="451" spans="1:14" x14ac:dyDescent="0.3">
      <c r="A451" t="s">
        <v>509</v>
      </c>
      <c r="B451" s="1">
        <v>45362</v>
      </c>
      <c r="C451" s="1" t="str">
        <f t="shared" si="14"/>
        <v>March</v>
      </c>
      <c r="D451" t="s">
        <v>35</v>
      </c>
      <c r="E451" t="s">
        <v>97</v>
      </c>
      <c r="F451" t="s">
        <v>27</v>
      </c>
      <c r="G451">
        <v>5</v>
      </c>
      <c r="H451">
        <v>4487.32</v>
      </c>
      <c r="I451" s="3">
        <v>0.05</v>
      </c>
      <c r="J451" t="s">
        <v>22</v>
      </c>
      <c r="K451" t="s">
        <v>17</v>
      </c>
      <c r="L451" t="s">
        <v>33</v>
      </c>
      <c r="M451">
        <v>21314.77</v>
      </c>
      <c r="N451" t="str">
        <f t="shared" si="15"/>
        <v>High</v>
      </c>
    </row>
    <row r="452" spans="1:14" x14ac:dyDescent="0.3">
      <c r="A452" t="s">
        <v>510</v>
      </c>
      <c r="B452" s="1">
        <v>45343</v>
      </c>
      <c r="C452" s="1" t="str">
        <f t="shared" si="14"/>
        <v>February</v>
      </c>
      <c r="D452" t="s">
        <v>38</v>
      </c>
      <c r="E452" t="s">
        <v>39</v>
      </c>
      <c r="F452" t="s">
        <v>1160</v>
      </c>
      <c r="G452">
        <v>2</v>
      </c>
      <c r="H452">
        <v>3383.76</v>
      </c>
      <c r="I452" s="3">
        <v>0.05</v>
      </c>
      <c r="J452" t="s">
        <v>16</v>
      </c>
      <c r="K452" t="s">
        <v>23</v>
      </c>
      <c r="L452" t="s">
        <v>33</v>
      </c>
      <c r="M452">
        <v>6429.14</v>
      </c>
      <c r="N452" t="str">
        <f t="shared" si="15"/>
        <v>Low</v>
      </c>
    </row>
    <row r="453" spans="1:14" x14ac:dyDescent="0.3">
      <c r="A453" t="s">
        <v>511</v>
      </c>
      <c r="B453" s="1">
        <v>45517</v>
      </c>
      <c r="C453" s="1" t="str">
        <f t="shared" si="14"/>
        <v>August</v>
      </c>
      <c r="D453" t="s">
        <v>20</v>
      </c>
      <c r="E453" t="s">
        <v>78</v>
      </c>
      <c r="F453" t="s">
        <v>1160</v>
      </c>
      <c r="G453">
        <v>6</v>
      </c>
      <c r="H453">
        <v>4104.09</v>
      </c>
      <c r="I453" s="3">
        <v>0</v>
      </c>
      <c r="J453" t="s">
        <v>16</v>
      </c>
      <c r="K453" t="s">
        <v>49</v>
      </c>
      <c r="L453" t="s">
        <v>18</v>
      </c>
      <c r="M453">
        <v>24624.54</v>
      </c>
      <c r="N453" t="str">
        <f t="shared" si="15"/>
        <v>High</v>
      </c>
    </row>
    <row r="454" spans="1:14" x14ac:dyDescent="0.3">
      <c r="A454" t="s">
        <v>512</v>
      </c>
      <c r="B454" s="1">
        <v>45448</v>
      </c>
      <c r="C454" s="1" t="str">
        <f t="shared" si="14"/>
        <v>June</v>
      </c>
      <c r="D454" t="s">
        <v>25</v>
      </c>
      <c r="E454" t="s">
        <v>87</v>
      </c>
      <c r="F454" t="s">
        <v>1160</v>
      </c>
      <c r="G454">
        <v>6</v>
      </c>
      <c r="H454">
        <v>5856.38</v>
      </c>
      <c r="I454" s="3">
        <v>0.1</v>
      </c>
      <c r="J454" t="s">
        <v>28</v>
      </c>
      <c r="K454" t="s">
        <v>23</v>
      </c>
      <c r="L454" t="s">
        <v>33</v>
      </c>
      <c r="M454">
        <v>31624.45</v>
      </c>
      <c r="N454" t="str">
        <f t="shared" si="15"/>
        <v>High</v>
      </c>
    </row>
    <row r="455" spans="1:14" x14ac:dyDescent="0.3">
      <c r="A455" t="s">
        <v>513</v>
      </c>
      <c r="B455" s="1">
        <v>45322</v>
      </c>
      <c r="C455" s="1" t="str">
        <f t="shared" si="14"/>
        <v>January</v>
      </c>
      <c r="D455" t="s">
        <v>20</v>
      </c>
      <c r="E455" t="s">
        <v>59</v>
      </c>
      <c r="F455" t="s">
        <v>53</v>
      </c>
      <c r="G455">
        <v>5</v>
      </c>
      <c r="H455">
        <v>6982.68</v>
      </c>
      <c r="I455" s="3">
        <v>0</v>
      </c>
      <c r="J455" t="s">
        <v>16</v>
      </c>
      <c r="K455" t="s">
        <v>17</v>
      </c>
      <c r="L455" t="s">
        <v>33</v>
      </c>
      <c r="M455">
        <v>34913.4</v>
      </c>
      <c r="N455" t="str">
        <f t="shared" si="15"/>
        <v>High</v>
      </c>
    </row>
    <row r="456" spans="1:14" x14ac:dyDescent="0.3">
      <c r="A456" t="s">
        <v>514</v>
      </c>
      <c r="B456" s="1">
        <v>45528</v>
      </c>
      <c r="C456" s="1" t="str">
        <f t="shared" si="14"/>
        <v>August</v>
      </c>
      <c r="D456" t="s">
        <v>13</v>
      </c>
      <c r="E456" t="s">
        <v>76</v>
      </c>
      <c r="F456" t="s">
        <v>27</v>
      </c>
      <c r="G456">
        <v>2</v>
      </c>
      <c r="H456">
        <v>3066.64</v>
      </c>
      <c r="I456" s="3">
        <v>0.2</v>
      </c>
      <c r="J456" t="s">
        <v>16</v>
      </c>
      <c r="K456" t="s">
        <v>17</v>
      </c>
      <c r="L456" t="s">
        <v>33</v>
      </c>
      <c r="M456">
        <v>4906.62</v>
      </c>
      <c r="N456" t="str">
        <f t="shared" si="15"/>
        <v>Low</v>
      </c>
    </row>
    <row r="457" spans="1:14" x14ac:dyDescent="0.3">
      <c r="A457" t="s">
        <v>515</v>
      </c>
      <c r="B457" s="1">
        <v>45471</v>
      </c>
      <c r="C457" s="1" t="str">
        <f t="shared" si="14"/>
        <v>June</v>
      </c>
      <c r="D457" t="s">
        <v>35</v>
      </c>
      <c r="E457" t="s">
        <v>63</v>
      </c>
      <c r="F457" t="s">
        <v>1160</v>
      </c>
      <c r="G457">
        <v>1</v>
      </c>
      <c r="H457">
        <v>2610.1999999999998</v>
      </c>
      <c r="I457" s="3">
        <v>0.2</v>
      </c>
      <c r="J457" t="s">
        <v>55</v>
      </c>
      <c r="K457" t="s">
        <v>49</v>
      </c>
      <c r="L457" t="s">
        <v>33</v>
      </c>
      <c r="M457">
        <v>2088.16</v>
      </c>
      <c r="N457" t="str">
        <f t="shared" si="15"/>
        <v>Low</v>
      </c>
    </row>
    <row r="458" spans="1:14" x14ac:dyDescent="0.3">
      <c r="A458" t="s">
        <v>516</v>
      </c>
      <c r="B458" s="1">
        <v>45432</v>
      </c>
      <c r="C458" s="1" t="str">
        <f t="shared" si="14"/>
        <v>May</v>
      </c>
      <c r="D458" t="s">
        <v>38</v>
      </c>
      <c r="E458" t="s">
        <v>51</v>
      </c>
      <c r="F458" t="s">
        <v>44</v>
      </c>
      <c r="G458">
        <v>2</v>
      </c>
      <c r="H458">
        <v>6649.47</v>
      </c>
      <c r="I458" s="3">
        <v>0.2</v>
      </c>
      <c r="J458" t="s">
        <v>16</v>
      </c>
      <c r="K458" t="s">
        <v>23</v>
      </c>
      <c r="L458" t="s">
        <v>18</v>
      </c>
      <c r="M458">
        <v>10639.15</v>
      </c>
      <c r="N458" t="str">
        <f t="shared" si="15"/>
        <v>Medium</v>
      </c>
    </row>
    <row r="459" spans="1:14" x14ac:dyDescent="0.3">
      <c r="A459" t="s">
        <v>517</v>
      </c>
      <c r="B459" s="1">
        <v>45296</v>
      </c>
      <c r="C459" s="1" t="str">
        <f t="shared" si="14"/>
        <v>January</v>
      </c>
      <c r="D459" t="s">
        <v>35</v>
      </c>
      <c r="E459" t="s">
        <v>97</v>
      </c>
      <c r="F459" t="s">
        <v>15</v>
      </c>
      <c r="G459">
        <v>1</v>
      </c>
      <c r="H459">
        <v>2182.19</v>
      </c>
      <c r="I459" s="3">
        <v>0.25</v>
      </c>
      <c r="J459" t="s">
        <v>22</v>
      </c>
      <c r="K459" t="s">
        <v>17</v>
      </c>
      <c r="L459" t="s">
        <v>33</v>
      </c>
      <c r="M459">
        <v>1636.64</v>
      </c>
      <c r="N459" t="str">
        <f t="shared" si="15"/>
        <v>Low</v>
      </c>
    </row>
    <row r="460" spans="1:14" x14ac:dyDescent="0.3">
      <c r="A460" t="s">
        <v>518</v>
      </c>
      <c r="B460" s="1">
        <v>45628</v>
      </c>
      <c r="C460" s="1" t="str">
        <f t="shared" si="14"/>
        <v>December</v>
      </c>
      <c r="D460" t="s">
        <v>20</v>
      </c>
      <c r="E460" t="s">
        <v>78</v>
      </c>
      <c r="F460" t="s">
        <v>32</v>
      </c>
      <c r="G460">
        <v>3</v>
      </c>
      <c r="H460">
        <v>321.91000000000003</v>
      </c>
      <c r="I460" s="3">
        <v>0.25</v>
      </c>
      <c r="J460" t="s">
        <v>22</v>
      </c>
      <c r="K460" t="s">
        <v>40</v>
      </c>
      <c r="L460" t="s">
        <v>33</v>
      </c>
      <c r="M460">
        <v>724.3</v>
      </c>
      <c r="N460" t="str">
        <f t="shared" si="15"/>
        <v>Low</v>
      </c>
    </row>
    <row r="461" spans="1:14" x14ac:dyDescent="0.3">
      <c r="A461" t="s">
        <v>519</v>
      </c>
      <c r="B461" s="1">
        <v>45571</v>
      </c>
      <c r="C461" s="1" t="str">
        <f t="shared" si="14"/>
        <v>October</v>
      </c>
      <c r="D461" t="s">
        <v>35</v>
      </c>
      <c r="E461" t="s">
        <v>97</v>
      </c>
      <c r="F461" t="s">
        <v>27</v>
      </c>
      <c r="G461">
        <v>6</v>
      </c>
      <c r="H461">
        <v>6493.74</v>
      </c>
      <c r="I461" s="3">
        <v>0</v>
      </c>
      <c r="J461" t="s">
        <v>16</v>
      </c>
      <c r="K461" t="s">
        <v>29</v>
      </c>
      <c r="L461" t="s">
        <v>33</v>
      </c>
      <c r="M461">
        <f>Orders[[#This Row],[Quantity]]*Orders[[#This Row],[UnitPrice]]-Orders[[#This Row],[Discount%]]</f>
        <v>38962.44</v>
      </c>
      <c r="N461" t="str">
        <f t="shared" si="15"/>
        <v>High</v>
      </c>
    </row>
    <row r="462" spans="1:14" x14ac:dyDescent="0.3">
      <c r="A462" t="s">
        <v>520</v>
      </c>
      <c r="B462" s="1">
        <v>45354</v>
      </c>
      <c r="C462" s="1" t="str">
        <f t="shared" si="14"/>
        <v>March</v>
      </c>
      <c r="D462" t="s">
        <v>25</v>
      </c>
      <c r="E462" t="s">
        <v>87</v>
      </c>
      <c r="F462" t="s">
        <v>15</v>
      </c>
      <c r="G462">
        <v>1</v>
      </c>
      <c r="H462">
        <v>4253.78</v>
      </c>
      <c r="I462" s="3">
        <v>0.1</v>
      </c>
      <c r="J462" t="s">
        <v>55</v>
      </c>
      <c r="K462" t="s">
        <v>23</v>
      </c>
      <c r="L462" t="s">
        <v>33</v>
      </c>
      <c r="M462">
        <v>3828.4</v>
      </c>
      <c r="N462" t="str">
        <f t="shared" si="15"/>
        <v>Low</v>
      </c>
    </row>
    <row r="463" spans="1:14" x14ac:dyDescent="0.3">
      <c r="A463" t="s">
        <v>521</v>
      </c>
      <c r="B463" s="1">
        <v>45557</v>
      </c>
      <c r="C463" s="1" t="str">
        <f t="shared" si="14"/>
        <v>September</v>
      </c>
      <c r="D463" t="s">
        <v>38</v>
      </c>
      <c r="E463" t="s">
        <v>39</v>
      </c>
      <c r="F463" t="s">
        <v>15</v>
      </c>
      <c r="G463">
        <v>5</v>
      </c>
      <c r="H463">
        <v>2338.4299999999998</v>
      </c>
      <c r="I463" s="3">
        <v>0</v>
      </c>
      <c r="J463" t="s">
        <v>28</v>
      </c>
      <c r="K463" t="s">
        <v>17</v>
      </c>
      <c r="L463" t="s">
        <v>33</v>
      </c>
      <c r="M463">
        <v>11692.15</v>
      </c>
      <c r="N463" t="str">
        <f t="shared" si="15"/>
        <v>Medium</v>
      </c>
    </row>
    <row r="464" spans="1:14" x14ac:dyDescent="0.3">
      <c r="A464" t="s">
        <v>522</v>
      </c>
      <c r="B464" s="1">
        <v>45370</v>
      </c>
      <c r="C464" s="1" t="str">
        <f t="shared" si="14"/>
        <v>March</v>
      </c>
      <c r="D464" t="s">
        <v>25</v>
      </c>
      <c r="E464" t="s">
        <v>46</v>
      </c>
      <c r="F464" t="s">
        <v>80</v>
      </c>
      <c r="G464">
        <v>5</v>
      </c>
      <c r="H464">
        <v>4226.1099999999997</v>
      </c>
      <c r="I464" s="3">
        <v>0.2</v>
      </c>
      <c r="J464" t="s">
        <v>16</v>
      </c>
      <c r="K464" t="s">
        <v>17</v>
      </c>
      <c r="L464" t="s">
        <v>18</v>
      </c>
      <c r="M464">
        <v>16904.439999999999</v>
      </c>
      <c r="N464" t="str">
        <f t="shared" si="15"/>
        <v>Medium</v>
      </c>
    </row>
    <row r="465" spans="1:14" x14ac:dyDescent="0.3">
      <c r="A465" t="s">
        <v>523</v>
      </c>
      <c r="B465" s="1">
        <v>45631</v>
      </c>
      <c r="C465" s="1" t="str">
        <f t="shared" si="14"/>
        <v>December</v>
      </c>
      <c r="D465" t="s">
        <v>35</v>
      </c>
      <c r="E465" t="s">
        <v>36</v>
      </c>
      <c r="F465" t="s">
        <v>44</v>
      </c>
      <c r="G465">
        <v>3</v>
      </c>
      <c r="H465">
        <v>7300.71</v>
      </c>
      <c r="I465" s="3">
        <v>0.25</v>
      </c>
      <c r="J465" t="s">
        <v>22</v>
      </c>
      <c r="K465" t="s">
        <v>49</v>
      </c>
      <c r="L465" t="s">
        <v>18</v>
      </c>
      <c r="M465">
        <v>16426.599999999999</v>
      </c>
      <c r="N465" t="str">
        <f t="shared" si="15"/>
        <v>Medium</v>
      </c>
    </row>
    <row r="466" spans="1:14" x14ac:dyDescent="0.3">
      <c r="A466" t="s">
        <v>524</v>
      </c>
      <c r="B466" s="1">
        <v>45534</v>
      </c>
      <c r="C466" s="1" t="str">
        <f t="shared" si="14"/>
        <v>August</v>
      </c>
      <c r="D466" t="s">
        <v>38</v>
      </c>
      <c r="E466" t="s">
        <v>100</v>
      </c>
      <c r="F466" t="s">
        <v>47</v>
      </c>
      <c r="G466">
        <v>1</v>
      </c>
      <c r="H466">
        <v>274.06</v>
      </c>
      <c r="I466" s="3">
        <v>0.05</v>
      </c>
      <c r="J466" t="s">
        <v>28</v>
      </c>
      <c r="K466" t="s">
        <v>49</v>
      </c>
      <c r="L466" t="s">
        <v>18</v>
      </c>
      <c r="M466">
        <v>260.36</v>
      </c>
      <c r="N466" t="str">
        <f t="shared" si="15"/>
        <v>Low</v>
      </c>
    </row>
    <row r="467" spans="1:14" x14ac:dyDescent="0.3">
      <c r="A467" t="s">
        <v>525</v>
      </c>
      <c r="B467" s="1">
        <v>45517</v>
      </c>
      <c r="C467" s="1" t="str">
        <f t="shared" si="14"/>
        <v>August</v>
      </c>
      <c r="D467" t="s">
        <v>20</v>
      </c>
      <c r="E467" t="s">
        <v>59</v>
      </c>
      <c r="F467" t="s">
        <v>15</v>
      </c>
      <c r="G467">
        <v>3</v>
      </c>
      <c r="H467">
        <v>4749.8999999999996</v>
      </c>
      <c r="I467" s="3">
        <v>0.15</v>
      </c>
      <c r="J467" t="s">
        <v>16</v>
      </c>
      <c r="K467" t="s">
        <v>29</v>
      </c>
      <c r="L467" t="s">
        <v>18</v>
      </c>
      <c r="M467">
        <v>12112.24</v>
      </c>
      <c r="N467" t="str">
        <f t="shared" si="15"/>
        <v>Medium</v>
      </c>
    </row>
    <row r="468" spans="1:14" x14ac:dyDescent="0.3">
      <c r="A468" t="s">
        <v>526</v>
      </c>
      <c r="B468" s="1">
        <v>45324</v>
      </c>
      <c r="C468" s="1" t="str">
        <f t="shared" si="14"/>
        <v>February</v>
      </c>
      <c r="D468" t="s">
        <v>35</v>
      </c>
      <c r="E468" t="s">
        <v>68</v>
      </c>
      <c r="F468" t="s">
        <v>15</v>
      </c>
      <c r="G468">
        <v>5</v>
      </c>
      <c r="H468">
        <v>5594.45</v>
      </c>
      <c r="I468" s="3">
        <v>0.1</v>
      </c>
      <c r="J468" t="s">
        <v>22</v>
      </c>
      <c r="K468" t="s">
        <v>49</v>
      </c>
      <c r="L468" t="s">
        <v>33</v>
      </c>
      <c r="M468">
        <v>25175.03</v>
      </c>
      <c r="N468" t="str">
        <f t="shared" si="15"/>
        <v>High</v>
      </c>
    </row>
    <row r="469" spans="1:14" x14ac:dyDescent="0.3">
      <c r="A469" t="s">
        <v>527</v>
      </c>
      <c r="B469" s="1">
        <v>45618</v>
      </c>
      <c r="C469" s="1" t="str">
        <f t="shared" si="14"/>
        <v>November</v>
      </c>
      <c r="D469" t="s">
        <v>13</v>
      </c>
      <c r="E469" t="s">
        <v>70</v>
      </c>
      <c r="F469" t="s">
        <v>27</v>
      </c>
      <c r="G469">
        <v>6</v>
      </c>
      <c r="H469">
        <v>4146.79</v>
      </c>
      <c r="I469" s="3">
        <v>0</v>
      </c>
      <c r="J469" t="s">
        <v>28</v>
      </c>
      <c r="K469" t="s">
        <v>49</v>
      </c>
      <c r="L469" t="s">
        <v>33</v>
      </c>
      <c r="M469">
        <v>24880.74</v>
      </c>
      <c r="N469" t="str">
        <f t="shared" si="15"/>
        <v>High</v>
      </c>
    </row>
    <row r="470" spans="1:14" x14ac:dyDescent="0.3">
      <c r="A470" t="s">
        <v>528</v>
      </c>
      <c r="B470" s="1">
        <v>45503</v>
      </c>
      <c r="C470" s="1" t="str">
        <f t="shared" si="14"/>
        <v>July</v>
      </c>
      <c r="D470" t="s">
        <v>13</v>
      </c>
      <c r="E470" t="s">
        <v>108</v>
      </c>
      <c r="F470" t="s">
        <v>1160</v>
      </c>
      <c r="G470">
        <v>5</v>
      </c>
      <c r="H470">
        <v>2299.41</v>
      </c>
      <c r="I470" s="3">
        <v>0.1</v>
      </c>
      <c r="J470" t="s">
        <v>55</v>
      </c>
      <c r="K470" t="s">
        <v>23</v>
      </c>
      <c r="L470" t="s">
        <v>33</v>
      </c>
      <c r="M470">
        <v>10347.34</v>
      </c>
      <c r="N470" t="str">
        <f t="shared" si="15"/>
        <v>Medium</v>
      </c>
    </row>
    <row r="471" spans="1:14" x14ac:dyDescent="0.3">
      <c r="A471" t="s">
        <v>529</v>
      </c>
      <c r="B471" s="1">
        <v>45332</v>
      </c>
      <c r="C471" s="1" t="str">
        <f t="shared" si="14"/>
        <v>February</v>
      </c>
      <c r="D471" t="s">
        <v>25</v>
      </c>
      <c r="E471" t="s">
        <v>26</v>
      </c>
      <c r="F471" t="s">
        <v>32</v>
      </c>
      <c r="G471">
        <v>3</v>
      </c>
      <c r="H471">
        <v>6926.99</v>
      </c>
      <c r="I471" s="3">
        <v>0.05</v>
      </c>
      <c r="J471" t="s">
        <v>16</v>
      </c>
      <c r="K471" t="s">
        <v>40</v>
      </c>
      <c r="L471" t="s">
        <v>33</v>
      </c>
      <c r="M471">
        <v>19741.919999999998</v>
      </c>
      <c r="N471" t="str">
        <f t="shared" si="15"/>
        <v>Medium</v>
      </c>
    </row>
    <row r="472" spans="1:14" x14ac:dyDescent="0.3">
      <c r="A472" t="s">
        <v>530</v>
      </c>
      <c r="B472" s="1">
        <v>45620</v>
      </c>
      <c r="C472" s="1" t="str">
        <f t="shared" si="14"/>
        <v>November</v>
      </c>
      <c r="D472" t="s">
        <v>35</v>
      </c>
      <c r="E472" t="s">
        <v>63</v>
      </c>
      <c r="F472" t="s">
        <v>44</v>
      </c>
      <c r="G472">
        <v>6</v>
      </c>
      <c r="H472">
        <v>4300.1499999999996</v>
      </c>
      <c r="I472" s="3">
        <v>0.2</v>
      </c>
      <c r="J472" t="s">
        <v>16</v>
      </c>
      <c r="K472" t="s">
        <v>23</v>
      </c>
      <c r="L472" t="s">
        <v>33</v>
      </c>
      <c r="M472">
        <v>20640.72</v>
      </c>
      <c r="N472" t="str">
        <f t="shared" si="15"/>
        <v>High</v>
      </c>
    </row>
    <row r="473" spans="1:14" x14ac:dyDescent="0.3">
      <c r="A473" t="s">
        <v>531</v>
      </c>
      <c r="B473" s="1">
        <v>45629</v>
      </c>
      <c r="C473" s="1" t="str">
        <f t="shared" si="14"/>
        <v>December</v>
      </c>
      <c r="D473" t="s">
        <v>25</v>
      </c>
      <c r="E473" t="s">
        <v>46</v>
      </c>
      <c r="F473" t="s">
        <v>15</v>
      </c>
      <c r="G473">
        <v>5</v>
      </c>
      <c r="H473">
        <v>3288.59</v>
      </c>
      <c r="I473" s="3">
        <v>0.2</v>
      </c>
      <c r="J473" t="s">
        <v>16</v>
      </c>
      <c r="K473" t="s">
        <v>49</v>
      </c>
      <c r="L473" t="s">
        <v>33</v>
      </c>
      <c r="M473">
        <v>13154.36</v>
      </c>
      <c r="N473" t="str">
        <f t="shared" si="15"/>
        <v>Medium</v>
      </c>
    </row>
    <row r="474" spans="1:14" x14ac:dyDescent="0.3">
      <c r="A474" t="s">
        <v>532</v>
      </c>
      <c r="B474" s="1">
        <v>45641</v>
      </c>
      <c r="C474" s="1" t="str">
        <f t="shared" si="14"/>
        <v>December</v>
      </c>
      <c r="D474" t="s">
        <v>35</v>
      </c>
      <c r="E474" t="s">
        <v>68</v>
      </c>
      <c r="F474" t="s">
        <v>1160</v>
      </c>
      <c r="G474">
        <v>6</v>
      </c>
      <c r="H474">
        <v>747.41</v>
      </c>
      <c r="I474" s="3">
        <v>0.05</v>
      </c>
      <c r="J474" t="s">
        <v>16</v>
      </c>
      <c r="K474" t="s">
        <v>29</v>
      </c>
      <c r="L474" t="s">
        <v>33</v>
      </c>
      <c r="M474">
        <v>4260.24</v>
      </c>
      <c r="N474" t="str">
        <f t="shared" si="15"/>
        <v>Low</v>
      </c>
    </row>
    <row r="475" spans="1:14" x14ac:dyDescent="0.3">
      <c r="A475" t="s">
        <v>533</v>
      </c>
      <c r="B475" s="1">
        <v>45379</v>
      </c>
      <c r="C475" s="1" t="str">
        <f t="shared" si="14"/>
        <v>March</v>
      </c>
      <c r="D475" t="s">
        <v>20</v>
      </c>
      <c r="E475" t="s">
        <v>57</v>
      </c>
      <c r="F475" t="s">
        <v>47</v>
      </c>
      <c r="G475">
        <v>1</v>
      </c>
      <c r="H475">
        <v>1372.02</v>
      </c>
      <c r="I475" s="3">
        <v>0.1</v>
      </c>
      <c r="J475" t="s">
        <v>55</v>
      </c>
      <c r="K475" t="s">
        <v>23</v>
      </c>
      <c r="L475" t="s">
        <v>33</v>
      </c>
      <c r="M475">
        <v>1234.82</v>
      </c>
      <c r="N475" t="str">
        <f t="shared" si="15"/>
        <v>Low</v>
      </c>
    </row>
    <row r="476" spans="1:14" x14ac:dyDescent="0.3">
      <c r="A476" t="s">
        <v>534</v>
      </c>
      <c r="B476" s="1">
        <v>45428</v>
      </c>
      <c r="C476" s="1" t="str">
        <f t="shared" si="14"/>
        <v>May</v>
      </c>
      <c r="D476" t="s">
        <v>13</v>
      </c>
      <c r="E476" t="s">
        <v>108</v>
      </c>
      <c r="F476" t="s">
        <v>53</v>
      </c>
      <c r="G476">
        <v>2</v>
      </c>
      <c r="H476">
        <v>3249.36</v>
      </c>
      <c r="I476" s="3">
        <v>0</v>
      </c>
      <c r="J476" t="s">
        <v>55</v>
      </c>
      <c r="K476" t="s">
        <v>40</v>
      </c>
      <c r="L476" t="s">
        <v>18</v>
      </c>
      <c r="M476">
        <v>6498.72</v>
      </c>
      <c r="N476" t="str">
        <f t="shared" si="15"/>
        <v>Low</v>
      </c>
    </row>
    <row r="477" spans="1:14" x14ac:dyDescent="0.3">
      <c r="A477" t="s">
        <v>535</v>
      </c>
      <c r="B477" s="1">
        <v>45415</v>
      </c>
      <c r="C477" s="1" t="str">
        <f t="shared" si="14"/>
        <v>May</v>
      </c>
      <c r="D477" t="s">
        <v>20</v>
      </c>
      <c r="E477" t="s">
        <v>78</v>
      </c>
      <c r="F477" t="s">
        <v>27</v>
      </c>
      <c r="G477">
        <v>1</v>
      </c>
      <c r="H477">
        <v>4809.37</v>
      </c>
      <c r="I477" s="3">
        <v>0.25</v>
      </c>
      <c r="J477" t="s">
        <v>22</v>
      </c>
      <c r="K477" t="s">
        <v>23</v>
      </c>
      <c r="L477" t="s">
        <v>18</v>
      </c>
      <c r="M477">
        <v>3607.03</v>
      </c>
      <c r="N477" t="str">
        <f t="shared" si="15"/>
        <v>Low</v>
      </c>
    </row>
    <row r="478" spans="1:14" x14ac:dyDescent="0.3">
      <c r="A478" t="s">
        <v>536</v>
      </c>
      <c r="B478" s="1">
        <v>45355</v>
      </c>
      <c r="C478" s="1" t="str">
        <f t="shared" si="14"/>
        <v>March</v>
      </c>
      <c r="D478" t="s">
        <v>13</v>
      </c>
      <c r="E478" t="s">
        <v>70</v>
      </c>
      <c r="F478" t="s">
        <v>32</v>
      </c>
      <c r="G478">
        <v>5</v>
      </c>
      <c r="H478">
        <v>315.10000000000002</v>
      </c>
      <c r="I478" s="3">
        <v>0.25</v>
      </c>
      <c r="J478" t="s">
        <v>28</v>
      </c>
      <c r="K478" t="s">
        <v>29</v>
      </c>
      <c r="L478" t="s">
        <v>33</v>
      </c>
      <c r="M478">
        <v>1181.6199999999999</v>
      </c>
      <c r="N478" t="str">
        <f t="shared" si="15"/>
        <v>Low</v>
      </c>
    </row>
    <row r="479" spans="1:14" x14ac:dyDescent="0.3">
      <c r="A479" t="s">
        <v>537</v>
      </c>
      <c r="B479" s="1">
        <v>45654</v>
      </c>
      <c r="C479" s="1" t="str">
        <f t="shared" si="14"/>
        <v>December</v>
      </c>
      <c r="D479" t="s">
        <v>20</v>
      </c>
      <c r="E479" t="s">
        <v>61</v>
      </c>
      <c r="F479" t="s">
        <v>53</v>
      </c>
      <c r="G479">
        <v>5</v>
      </c>
      <c r="H479">
        <v>6320.01</v>
      </c>
      <c r="I479" s="3">
        <v>0.15</v>
      </c>
      <c r="J479" t="s">
        <v>28</v>
      </c>
      <c r="K479" t="s">
        <v>40</v>
      </c>
      <c r="L479" t="s">
        <v>33</v>
      </c>
      <c r="M479">
        <v>26860.04</v>
      </c>
      <c r="N479" t="str">
        <f t="shared" si="15"/>
        <v>High</v>
      </c>
    </row>
    <row r="480" spans="1:14" x14ac:dyDescent="0.3">
      <c r="A480" t="s">
        <v>538</v>
      </c>
      <c r="B480" s="1">
        <v>45462</v>
      </c>
      <c r="C480" s="1" t="str">
        <f t="shared" si="14"/>
        <v>June</v>
      </c>
      <c r="D480" t="s">
        <v>25</v>
      </c>
      <c r="E480" t="s">
        <v>31</v>
      </c>
      <c r="F480" t="s">
        <v>32</v>
      </c>
      <c r="G480">
        <v>3</v>
      </c>
      <c r="H480">
        <v>5695.09</v>
      </c>
      <c r="I480" s="3">
        <v>0.1</v>
      </c>
      <c r="J480" t="s">
        <v>22</v>
      </c>
      <c r="K480" t="s">
        <v>17</v>
      </c>
      <c r="L480" t="s">
        <v>33</v>
      </c>
      <c r="M480">
        <v>15376.74</v>
      </c>
      <c r="N480" t="str">
        <f t="shared" si="15"/>
        <v>Medium</v>
      </c>
    </row>
    <row r="481" spans="1:14" x14ac:dyDescent="0.3">
      <c r="A481" t="s">
        <v>539</v>
      </c>
      <c r="B481" s="1">
        <v>45350</v>
      </c>
      <c r="C481" s="1" t="str">
        <f t="shared" si="14"/>
        <v>February</v>
      </c>
      <c r="D481" t="s">
        <v>35</v>
      </c>
      <c r="E481" t="s">
        <v>36</v>
      </c>
      <c r="F481" t="s">
        <v>47</v>
      </c>
      <c r="G481">
        <v>2</v>
      </c>
      <c r="H481">
        <v>5981.79</v>
      </c>
      <c r="I481" s="3">
        <v>0.05</v>
      </c>
      <c r="J481" t="s">
        <v>16</v>
      </c>
      <c r="K481" t="s">
        <v>17</v>
      </c>
      <c r="L481" t="s">
        <v>33</v>
      </c>
      <c r="M481">
        <v>11365.4</v>
      </c>
      <c r="N481" t="str">
        <f t="shared" si="15"/>
        <v>Medium</v>
      </c>
    </row>
    <row r="482" spans="1:14" x14ac:dyDescent="0.3">
      <c r="A482" t="s">
        <v>540</v>
      </c>
      <c r="B482" s="1">
        <v>45381</v>
      </c>
      <c r="C482" s="1" t="str">
        <f t="shared" si="14"/>
        <v>March</v>
      </c>
      <c r="D482" t="s">
        <v>35</v>
      </c>
      <c r="E482" t="s">
        <v>63</v>
      </c>
      <c r="F482" t="s">
        <v>32</v>
      </c>
      <c r="G482">
        <v>4</v>
      </c>
      <c r="H482">
        <v>746.67</v>
      </c>
      <c r="I482" s="3">
        <v>0.25</v>
      </c>
      <c r="J482" t="s">
        <v>16</v>
      </c>
      <c r="K482" t="s">
        <v>17</v>
      </c>
      <c r="L482" t="s">
        <v>33</v>
      </c>
      <c r="M482">
        <v>2240.0100000000002</v>
      </c>
      <c r="N482" t="str">
        <f t="shared" si="15"/>
        <v>Low</v>
      </c>
    </row>
    <row r="483" spans="1:14" x14ac:dyDescent="0.3">
      <c r="A483" t="s">
        <v>541</v>
      </c>
      <c r="B483" s="1">
        <v>45413</v>
      </c>
      <c r="C483" s="1" t="str">
        <f t="shared" si="14"/>
        <v>May</v>
      </c>
      <c r="D483" t="s">
        <v>20</v>
      </c>
      <c r="E483" t="s">
        <v>21</v>
      </c>
      <c r="F483" t="s">
        <v>15</v>
      </c>
      <c r="G483">
        <v>3</v>
      </c>
      <c r="H483">
        <v>2542.9899999999998</v>
      </c>
      <c r="I483" s="3">
        <v>0.25</v>
      </c>
      <c r="J483" t="s">
        <v>55</v>
      </c>
      <c r="K483" t="s">
        <v>49</v>
      </c>
      <c r="L483" t="s">
        <v>33</v>
      </c>
      <c r="M483">
        <v>5721.73</v>
      </c>
      <c r="N483" t="str">
        <f t="shared" si="15"/>
        <v>Low</v>
      </c>
    </row>
    <row r="484" spans="1:14" x14ac:dyDescent="0.3">
      <c r="A484" t="s">
        <v>542</v>
      </c>
      <c r="B484" s="1">
        <v>45298</v>
      </c>
      <c r="C484" s="1" t="str">
        <f t="shared" si="14"/>
        <v>January</v>
      </c>
      <c r="D484" t="s">
        <v>20</v>
      </c>
      <c r="E484" t="s">
        <v>61</v>
      </c>
      <c r="F484" t="s">
        <v>80</v>
      </c>
      <c r="G484">
        <v>1</v>
      </c>
      <c r="H484">
        <v>886.12</v>
      </c>
      <c r="I484" s="3">
        <v>0</v>
      </c>
      <c r="J484" t="s">
        <v>55</v>
      </c>
      <c r="K484" t="s">
        <v>40</v>
      </c>
      <c r="L484" t="s">
        <v>33</v>
      </c>
      <c r="M484">
        <v>886.12</v>
      </c>
      <c r="N484" t="str">
        <f t="shared" si="15"/>
        <v>Low</v>
      </c>
    </row>
    <row r="485" spans="1:14" x14ac:dyDescent="0.3">
      <c r="A485" t="s">
        <v>543</v>
      </c>
      <c r="B485" s="1">
        <v>45488</v>
      </c>
      <c r="C485" s="1" t="str">
        <f t="shared" si="14"/>
        <v>July</v>
      </c>
      <c r="D485" t="s">
        <v>25</v>
      </c>
      <c r="E485" t="s">
        <v>46</v>
      </c>
      <c r="F485" t="s">
        <v>32</v>
      </c>
      <c r="G485">
        <v>6</v>
      </c>
      <c r="H485">
        <v>2203.9899999999998</v>
      </c>
      <c r="I485" s="3">
        <v>0</v>
      </c>
      <c r="J485" t="s">
        <v>55</v>
      </c>
      <c r="K485" t="s">
        <v>40</v>
      </c>
      <c r="L485" t="s">
        <v>33</v>
      </c>
      <c r="M485">
        <v>13223.94</v>
      </c>
      <c r="N485" t="str">
        <f t="shared" si="15"/>
        <v>Medium</v>
      </c>
    </row>
    <row r="486" spans="1:14" x14ac:dyDescent="0.3">
      <c r="A486" t="s">
        <v>544</v>
      </c>
      <c r="B486" s="1">
        <v>45351</v>
      </c>
      <c r="C486" s="1" t="str">
        <f t="shared" si="14"/>
        <v>February</v>
      </c>
      <c r="D486" t="s">
        <v>38</v>
      </c>
      <c r="E486" t="s">
        <v>51</v>
      </c>
      <c r="F486" t="s">
        <v>32</v>
      </c>
      <c r="G486">
        <v>6</v>
      </c>
      <c r="H486">
        <v>4853.3</v>
      </c>
      <c r="I486" s="3">
        <v>0.1</v>
      </c>
      <c r="J486" t="s">
        <v>16</v>
      </c>
      <c r="K486" t="s">
        <v>40</v>
      </c>
      <c r="L486" t="s">
        <v>33</v>
      </c>
      <c r="M486">
        <v>26207.82</v>
      </c>
      <c r="N486" t="str">
        <f t="shared" si="15"/>
        <v>High</v>
      </c>
    </row>
    <row r="487" spans="1:14" x14ac:dyDescent="0.3">
      <c r="A487" t="s">
        <v>545</v>
      </c>
      <c r="B487" s="1">
        <v>45485</v>
      </c>
      <c r="C487" s="1" t="str">
        <f t="shared" si="14"/>
        <v>July</v>
      </c>
      <c r="D487" t="s">
        <v>20</v>
      </c>
      <c r="E487" t="s">
        <v>59</v>
      </c>
      <c r="F487" t="s">
        <v>44</v>
      </c>
      <c r="G487">
        <v>1</v>
      </c>
      <c r="H487">
        <v>2473.35</v>
      </c>
      <c r="I487" s="3">
        <v>0</v>
      </c>
      <c r="J487" t="s">
        <v>16</v>
      </c>
      <c r="K487" t="s">
        <v>49</v>
      </c>
      <c r="L487" t="s">
        <v>18</v>
      </c>
      <c r="M487">
        <v>2473.35</v>
      </c>
      <c r="N487" t="str">
        <f t="shared" si="15"/>
        <v>Low</v>
      </c>
    </row>
    <row r="488" spans="1:14" x14ac:dyDescent="0.3">
      <c r="A488" t="s">
        <v>546</v>
      </c>
      <c r="B488" s="1">
        <v>45611</v>
      </c>
      <c r="C488" s="1" t="str">
        <f t="shared" si="14"/>
        <v>November</v>
      </c>
      <c r="D488" t="s">
        <v>38</v>
      </c>
      <c r="E488" t="s">
        <v>39</v>
      </c>
      <c r="F488" t="s">
        <v>47</v>
      </c>
      <c r="G488">
        <v>6</v>
      </c>
      <c r="H488">
        <v>3902.39</v>
      </c>
      <c r="I488" s="3">
        <v>0</v>
      </c>
      <c r="J488" t="s">
        <v>22</v>
      </c>
      <c r="K488" t="s">
        <v>40</v>
      </c>
      <c r="L488" t="s">
        <v>33</v>
      </c>
      <c r="M488">
        <v>23414.34</v>
      </c>
      <c r="N488" t="str">
        <f t="shared" si="15"/>
        <v>High</v>
      </c>
    </row>
    <row r="489" spans="1:14" x14ac:dyDescent="0.3">
      <c r="A489" t="s">
        <v>547</v>
      </c>
      <c r="B489" s="1">
        <v>45413</v>
      </c>
      <c r="C489" s="1" t="str">
        <f t="shared" si="14"/>
        <v>May</v>
      </c>
      <c r="D489" t="s">
        <v>35</v>
      </c>
      <c r="E489" t="s">
        <v>63</v>
      </c>
      <c r="F489" t="s">
        <v>27</v>
      </c>
      <c r="G489">
        <v>6</v>
      </c>
      <c r="H489">
        <v>3142.56</v>
      </c>
      <c r="I489" s="3">
        <v>0.1</v>
      </c>
      <c r="J489" t="s">
        <v>22</v>
      </c>
      <c r="K489" t="s">
        <v>49</v>
      </c>
      <c r="L489" t="s">
        <v>33</v>
      </c>
      <c r="M489">
        <v>16969.82</v>
      </c>
      <c r="N489" t="str">
        <f t="shared" si="15"/>
        <v>Medium</v>
      </c>
    </row>
    <row r="490" spans="1:14" x14ac:dyDescent="0.3">
      <c r="A490" t="s">
        <v>548</v>
      </c>
      <c r="B490" s="1">
        <v>45556</v>
      </c>
      <c r="C490" s="1" t="str">
        <f t="shared" si="14"/>
        <v>September</v>
      </c>
      <c r="D490" t="s">
        <v>35</v>
      </c>
      <c r="E490" t="s">
        <v>63</v>
      </c>
      <c r="F490" t="s">
        <v>44</v>
      </c>
      <c r="G490">
        <v>4</v>
      </c>
      <c r="H490">
        <v>7621.22</v>
      </c>
      <c r="I490" s="3">
        <v>0.05</v>
      </c>
      <c r="J490" t="s">
        <v>55</v>
      </c>
      <c r="K490" t="s">
        <v>40</v>
      </c>
      <c r="L490" t="s">
        <v>33</v>
      </c>
      <c r="M490">
        <v>28960.639999999999</v>
      </c>
      <c r="N490" t="str">
        <f t="shared" si="15"/>
        <v>High</v>
      </c>
    </row>
    <row r="491" spans="1:14" x14ac:dyDescent="0.3">
      <c r="A491" t="s">
        <v>549</v>
      </c>
      <c r="B491" s="1">
        <v>45375</v>
      </c>
      <c r="C491" s="1" t="str">
        <f t="shared" si="14"/>
        <v>March</v>
      </c>
      <c r="D491" t="s">
        <v>38</v>
      </c>
      <c r="E491" t="s">
        <v>42</v>
      </c>
      <c r="F491" t="s">
        <v>53</v>
      </c>
      <c r="G491">
        <v>1</v>
      </c>
      <c r="H491">
        <v>3267.91</v>
      </c>
      <c r="I491" s="3">
        <v>0</v>
      </c>
      <c r="J491" t="s">
        <v>16</v>
      </c>
      <c r="K491" t="s">
        <v>40</v>
      </c>
      <c r="L491" t="s">
        <v>18</v>
      </c>
      <c r="M491">
        <v>3267.91</v>
      </c>
      <c r="N491" t="str">
        <f t="shared" si="15"/>
        <v>Low</v>
      </c>
    </row>
    <row r="492" spans="1:14" x14ac:dyDescent="0.3">
      <c r="A492" t="s">
        <v>550</v>
      </c>
      <c r="B492" s="1">
        <v>45541</v>
      </c>
      <c r="C492" s="1" t="str">
        <f t="shared" si="14"/>
        <v>September</v>
      </c>
      <c r="D492" t="s">
        <v>38</v>
      </c>
      <c r="E492" t="s">
        <v>51</v>
      </c>
      <c r="F492" t="s">
        <v>47</v>
      </c>
      <c r="G492">
        <v>1</v>
      </c>
      <c r="H492">
        <v>1851.62</v>
      </c>
      <c r="I492" s="3">
        <v>0.05</v>
      </c>
      <c r="J492" t="s">
        <v>16</v>
      </c>
      <c r="K492" t="s">
        <v>40</v>
      </c>
      <c r="L492" t="s">
        <v>33</v>
      </c>
      <c r="M492">
        <v>1759.04</v>
      </c>
      <c r="N492" t="str">
        <f t="shared" si="15"/>
        <v>Low</v>
      </c>
    </row>
    <row r="493" spans="1:14" x14ac:dyDescent="0.3">
      <c r="A493" t="s">
        <v>551</v>
      </c>
      <c r="B493" s="1">
        <v>45358</v>
      </c>
      <c r="C493" s="1" t="str">
        <f t="shared" si="14"/>
        <v>March</v>
      </c>
      <c r="D493" t="s">
        <v>38</v>
      </c>
      <c r="E493" t="s">
        <v>51</v>
      </c>
      <c r="F493" t="s">
        <v>80</v>
      </c>
      <c r="G493">
        <v>2</v>
      </c>
      <c r="H493">
        <v>2611.2600000000002</v>
      </c>
      <c r="I493" s="3">
        <v>0.2</v>
      </c>
      <c r="J493" t="s">
        <v>22</v>
      </c>
      <c r="K493" t="s">
        <v>49</v>
      </c>
      <c r="L493" t="s">
        <v>33</v>
      </c>
      <c r="M493">
        <v>4178.0200000000004</v>
      </c>
      <c r="N493" t="str">
        <f t="shared" si="15"/>
        <v>Low</v>
      </c>
    </row>
    <row r="494" spans="1:14" x14ac:dyDescent="0.3">
      <c r="A494" t="s">
        <v>552</v>
      </c>
      <c r="B494" s="1">
        <v>45369</v>
      </c>
      <c r="C494" s="1" t="str">
        <f t="shared" si="14"/>
        <v>March</v>
      </c>
      <c r="D494" t="s">
        <v>20</v>
      </c>
      <c r="E494" t="s">
        <v>57</v>
      </c>
      <c r="F494" t="s">
        <v>80</v>
      </c>
      <c r="G494">
        <v>2</v>
      </c>
      <c r="H494">
        <v>5603.24</v>
      </c>
      <c r="I494" s="3">
        <v>0</v>
      </c>
      <c r="J494" t="s">
        <v>22</v>
      </c>
      <c r="K494" t="s">
        <v>29</v>
      </c>
      <c r="L494" t="s">
        <v>18</v>
      </c>
      <c r="M494">
        <f>Orders[[#This Row],[Quantity]]*Orders[[#This Row],[UnitPrice]]-Orders[[#This Row],[Discount%]]</f>
        <v>11206.48</v>
      </c>
      <c r="N494" t="str">
        <f t="shared" si="15"/>
        <v>Medium</v>
      </c>
    </row>
    <row r="495" spans="1:14" x14ac:dyDescent="0.3">
      <c r="A495" t="s">
        <v>553</v>
      </c>
      <c r="B495" s="1">
        <v>45518</v>
      </c>
      <c r="C495" s="1" t="str">
        <f t="shared" si="14"/>
        <v>August</v>
      </c>
      <c r="D495" t="s">
        <v>13</v>
      </c>
      <c r="E495" t="s">
        <v>74</v>
      </c>
      <c r="F495" t="s">
        <v>47</v>
      </c>
      <c r="G495">
        <v>1</v>
      </c>
      <c r="H495">
        <v>879.03</v>
      </c>
      <c r="I495" s="3">
        <v>0.2</v>
      </c>
      <c r="J495" t="s">
        <v>16</v>
      </c>
      <c r="K495" t="s">
        <v>17</v>
      </c>
      <c r="L495" t="s">
        <v>18</v>
      </c>
      <c r="M495">
        <v>703.22</v>
      </c>
      <c r="N495" t="str">
        <f t="shared" si="15"/>
        <v>Low</v>
      </c>
    </row>
    <row r="496" spans="1:14" x14ac:dyDescent="0.3">
      <c r="A496" t="s">
        <v>554</v>
      </c>
      <c r="B496" s="1">
        <v>45631</v>
      </c>
      <c r="C496" s="1" t="str">
        <f t="shared" si="14"/>
        <v>December</v>
      </c>
      <c r="D496" t="s">
        <v>20</v>
      </c>
      <c r="E496" t="s">
        <v>61</v>
      </c>
      <c r="F496" t="s">
        <v>44</v>
      </c>
      <c r="G496">
        <v>1</v>
      </c>
      <c r="H496">
        <v>7007.58</v>
      </c>
      <c r="I496" s="3">
        <v>0.2</v>
      </c>
      <c r="J496" t="s">
        <v>22</v>
      </c>
      <c r="K496" t="s">
        <v>17</v>
      </c>
      <c r="L496" t="s">
        <v>33</v>
      </c>
      <c r="M496">
        <v>5606.06</v>
      </c>
      <c r="N496" t="str">
        <f t="shared" si="15"/>
        <v>Low</v>
      </c>
    </row>
    <row r="497" spans="1:14" x14ac:dyDescent="0.3">
      <c r="A497" t="s">
        <v>555</v>
      </c>
      <c r="B497" s="1">
        <v>45650</v>
      </c>
      <c r="C497" s="1" t="str">
        <f t="shared" si="14"/>
        <v>December</v>
      </c>
      <c r="D497" t="s">
        <v>38</v>
      </c>
      <c r="E497" t="s">
        <v>51</v>
      </c>
      <c r="F497" t="s">
        <v>80</v>
      </c>
      <c r="G497">
        <v>2</v>
      </c>
      <c r="H497">
        <v>7031.71</v>
      </c>
      <c r="I497" s="3">
        <v>0</v>
      </c>
      <c r="J497" t="s">
        <v>16</v>
      </c>
      <c r="K497" t="s">
        <v>17</v>
      </c>
      <c r="L497" t="s">
        <v>33</v>
      </c>
      <c r="M497">
        <v>14063.42</v>
      </c>
      <c r="N497" t="str">
        <f t="shared" si="15"/>
        <v>Medium</v>
      </c>
    </row>
    <row r="498" spans="1:14" x14ac:dyDescent="0.3">
      <c r="A498" t="s">
        <v>556</v>
      </c>
      <c r="B498" s="1">
        <v>45486</v>
      </c>
      <c r="C498" s="1" t="str">
        <f t="shared" si="14"/>
        <v>July</v>
      </c>
      <c r="D498" t="s">
        <v>20</v>
      </c>
      <c r="E498" t="s">
        <v>78</v>
      </c>
      <c r="F498" t="s">
        <v>27</v>
      </c>
      <c r="G498">
        <v>5</v>
      </c>
      <c r="H498">
        <v>7384.66</v>
      </c>
      <c r="I498" s="3">
        <v>0</v>
      </c>
      <c r="J498" t="s">
        <v>55</v>
      </c>
      <c r="K498" t="s">
        <v>17</v>
      </c>
      <c r="L498" t="s">
        <v>18</v>
      </c>
      <c r="M498">
        <v>36923.300000000003</v>
      </c>
      <c r="N498" t="str">
        <f t="shared" si="15"/>
        <v>High</v>
      </c>
    </row>
    <row r="499" spans="1:14" x14ac:dyDescent="0.3">
      <c r="A499" t="s">
        <v>557</v>
      </c>
      <c r="B499" s="1">
        <v>45553</v>
      </c>
      <c r="C499" s="1" t="str">
        <f t="shared" si="14"/>
        <v>September</v>
      </c>
      <c r="D499" t="s">
        <v>20</v>
      </c>
      <c r="E499" t="s">
        <v>57</v>
      </c>
      <c r="F499" t="s">
        <v>47</v>
      </c>
      <c r="G499">
        <v>4</v>
      </c>
      <c r="H499">
        <v>1647.92</v>
      </c>
      <c r="I499" s="3">
        <v>0</v>
      </c>
      <c r="J499" t="s">
        <v>55</v>
      </c>
      <c r="K499" t="s">
        <v>40</v>
      </c>
      <c r="L499" t="s">
        <v>18</v>
      </c>
      <c r="M499">
        <v>6591.68</v>
      </c>
      <c r="N499" t="str">
        <f t="shared" si="15"/>
        <v>Low</v>
      </c>
    </row>
    <row r="500" spans="1:14" x14ac:dyDescent="0.3">
      <c r="A500" t="s">
        <v>558</v>
      </c>
      <c r="B500" s="1">
        <v>45502</v>
      </c>
      <c r="C500" s="1" t="str">
        <f t="shared" si="14"/>
        <v>July</v>
      </c>
      <c r="D500" t="s">
        <v>38</v>
      </c>
      <c r="E500" t="s">
        <v>164</v>
      </c>
      <c r="F500" t="s">
        <v>27</v>
      </c>
      <c r="G500">
        <v>5</v>
      </c>
      <c r="H500">
        <v>1156.8399999999999</v>
      </c>
      <c r="I500" s="3">
        <v>0.15</v>
      </c>
      <c r="J500" t="s">
        <v>55</v>
      </c>
      <c r="K500" t="s">
        <v>49</v>
      </c>
      <c r="L500" t="s">
        <v>33</v>
      </c>
      <c r="M500">
        <v>4916.57</v>
      </c>
      <c r="N500" t="str">
        <f t="shared" si="15"/>
        <v>Low</v>
      </c>
    </row>
    <row r="501" spans="1:14" x14ac:dyDescent="0.3">
      <c r="A501" t="s">
        <v>559</v>
      </c>
      <c r="B501" s="1">
        <v>45380</v>
      </c>
      <c r="C501" s="1" t="str">
        <f t="shared" si="14"/>
        <v>March</v>
      </c>
      <c r="D501" t="s">
        <v>25</v>
      </c>
      <c r="E501" t="s">
        <v>94</v>
      </c>
      <c r="F501" t="s">
        <v>47</v>
      </c>
      <c r="G501">
        <v>3</v>
      </c>
      <c r="H501">
        <v>5176.1499999999996</v>
      </c>
      <c r="I501" s="3">
        <v>0</v>
      </c>
      <c r="J501" t="s">
        <v>55</v>
      </c>
      <c r="K501" t="s">
        <v>17</v>
      </c>
      <c r="L501" t="s">
        <v>33</v>
      </c>
      <c r="M501">
        <v>15528.45</v>
      </c>
      <c r="N501" t="str">
        <f t="shared" si="15"/>
        <v>Medium</v>
      </c>
    </row>
    <row r="502" spans="1:14" x14ac:dyDescent="0.3">
      <c r="A502" t="s">
        <v>560</v>
      </c>
      <c r="B502" s="1">
        <v>45531</v>
      </c>
      <c r="C502" s="1" t="str">
        <f t="shared" si="14"/>
        <v>August</v>
      </c>
      <c r="D502" t="s">
        <v>20</v>
      </c>
      <c r="E502" t="s">
        <v>78</v>
      </c>
      <c r="F502" t="s">
        <v>32</v>
      </c>
      <c r="G502">
        <v>4</v>
      </c>
      <c r="H502">
        <v>5868.27</v>
      </c>
      <c r="I502" s="3">
        <v>0</v>
      </c>
      <c r="J502" t="s">
        <v>16</v>
      </c>
      <c r="K502" t="s">
        <v>29</v>
      </c>
      <c r="L502" t="s">
        <v>33</v>
      </c>
      <c r="M502">
        <v>23473.08</v>
      </c>
      <c r="N502" t="str">
        <f t="shared" si="15"/>
        <v>High</v>
      </c>
    </row>
    <row r="503" spans="1:14" x14ac:dyDescent="0.3">
      <c r="A503" t="s">
        <v>561</v>
      </c>
      <c r="B503" s="1">
        <v>45347</v>
      </c>
      <c r="C503" s="1" t="str">
        <f t="shared" si="14"/>
        <v>February</v>
      </c>
      <c r="D503" t="s">
        <v>38</v>
      </c>
      <c r="E503" t="s">
        <v>100</v>
      </c>
      <c r="F503" t="s">
        <v>15</v>
      </c>
      <c r="G503">
        <v>2</v>
      </c>
      <c r="H503">
        <v>690.24</v>
      </c>
      <c r="I503" s="3">
        <v>0</v>
      </c>
      <c r="J503" t="s">
        <v>28</v>
      </c>
      <c r="K503" t="s">
        <v>49</v>
      </c>
      <c r="L503" t="s">
        <v>33</v>
      </c>
      <c r="M503">
        <v>1380.48</v>
      </c>
      <c r="N503" t="str">
        <f t="shared" si="15"/>
        <v>Low</v>
      </c>
    </row>
    <row r="504" spans="1:14" x14ac:dyDescent="0.3">
      <c r="A504" t="s">
        <v>562</v>
      </c>
      <c r="B504" s="1">
        <v>45460</v>
      </c>
      <c r="C504" s="1" t="str">
        <f t="shared" si="14"/>
        <v>June</v>
      </c>
      <c r="D504" t="s">
        <v>20</v>
      </c>
      <c r="E504" t="s">
        <v>61</v>
      </c>
      <c r="F504" t="s">
        <v>15</v>
      </c>
      <c r="G504">
        <v>3</v>
      </c>
      <c r="H504">
        <v>3176.28</v>
      </c>
      <c r="I504" s="3">
        <v>0.25</v>
      </c>
      <c r="J504" t="s">
        <v>22</v>
      </c>
      <c r="K504" t="s">
        <v>40</v>
      </c>
      <c r="L504" t="s">
        <v>33</v>
      </c>
      <c r="M504">
        <v>7146.63</v>
      </c>
      <c r="N504" t="str">
        <f t="shared" si="15"/>
        <v>Low</v>
      </c>
    </row>
    <row r="505" spans="1:14" x14ac:dyDescent="0.3">
      <c r="A505" t="s">
        <v>563</v>
      </c>
      <c r="B505" s="1">
        <v>45332</v>
      </c>
      <c r="C505" s="1" t="str">
        <f t="shared" si="14"/>
        <v>February</v>
      </c>
      <c r="D505" t="s">
        <v>35</v>
      </c>
      <c r="E505" t="s">
        <v>97</v>
      </c>
      <c r="F505" t="s">
        <v>27</v>
      </c>
      <c r="G505">
        <v>2</v>
      </c>
      <c r="H505">
        <v>2005.64</v>
      </c>
      <c r="I505" s="3">
        <v>0.1</v>
      </c>
      <c r="J505" t="s">
        <v>55</v>
      </c>
      <c r="K505" t="s">
        <v>23</v>
      </c>
      <c r="L505" t="s">
        <v>33</v>
      </c>
      <c r="M505">
        <v>3610.15</v>
      </c>
      <c r="N505" t="str">
        <f t="shared" si="15"/>
        <v>Low</v>
      </c>
    </row>
    <row r="506" spans="1:14" x14ac:dyDescent="0.3">
      <c r="A506" t="s">
        <v>564</v>
      </c>
      <c r="B506" s="1">
        <v>45562</v>
      </c>
      <c r="C506" s="1" t="str">
        <f t="shared" si="14"/>
        <v>September</v>
      </c>
      <c r="D506" t="s">
        <v>35</v>
      </c>
      <c r="E506" t="s">
        <v>65</v>
      </c>
      <c r="F506" t="s">
        <v>47</v>
      </c>
      <c r="G506">
        <v>6</v>
      </c>
      <c r="H506">
        <v>2520.21</v>
      </c>
      <c r="I506" s="3">
        <v>0</v>
      </c>
      <c r="J506" t="s">
        <v>16</v>
      </c>
      <c r="K506" t="s">
        <v>17</v>
      </c>
      <c r="L506" t="s">
        <v>33</v>
      </c>
      <c r="M506">
        <v>15121.26</v>
      </c>
      <c r="N506" t="str">
        <f t="shared" si="15"/>
        <v>Medium</v>
      </c>
    </row>
    <row r="507" spans="1:14" x14ac:dyDescent="0.3">
      <c r="A507" t="s">
        <v>565</v>
      </c>
      <c r="B507" s="1">
        <v>45482</v>
      </c>
      <c r="C507" s="1" t="str">
        <f t="shared" si="14"/>
        <v>July</v>
      </c>
      <c r="D507" t="s">
        <v>35</v>
      </c>
      <c r="E507" t="s">
        <v>65</v>
      </c>
      <c r="F507" t="s">
        <v>27</v>
      </c>
      <c r="G507">
        <v>4</v>
      </c>
      <c r="H507">
        <v>7878.73</v>
      </c>
      <c r="I507" s="3">
        <v>0.1</v>
      </c>
      <c r="J507" t="s">
        <v>16</v>
      </c>
      <c r="K507" t="s">
        <v>29</v>
      </c>
      <c r="L507" t="s">
        <v>33</v>
      </c>
      <c r="M507">
        <v>28363.43</v>
      </c>
      <c r="N507" t="str">
        <f t="shared" si="15"/>
        <v>High</v>
      </c>
    </row>
    <row r="508" spans="1:14" x14ac:dyDescent="0.3">
      <c r="A508" t="s">
        <v>566</v>
      </c>
      <c r="B508" s="1">
        <v>45389</v>
      </c>
      <c r="C508" s="1" t="str">
        <f t="shared" si="14"/>
        <v>April</v>
      </c>
      <c r="D508" t="s">
        <v>25</v>
      </c>
      <c r="E508" t="s">
        <v>87</v>
      </c>
      <c r="F508" t="s">
        <v>53</v>
      </c>
      <c r="G508">
        <v>3</v>
      </c>
      <c r="H508">
        <v>7794.04</v>
      </c>
      <c r="I508" s="3">
        <v>0.1</v>
      </c>
      <c r="J508" t="s">
        <v>28</v>
      </c>
      <c r="K508" t="s">
        <v>49</v>
      </c>
      <c r="L508" t="s">
        <v>33</v>
      </c>
      <c r="M508">
        <v>21043.91</v>
      </c>
      <c r="N508" t="str">
        <f t="shared" si="15"/>
        <v>High</v>
      </c>
    </row>
    <row r="509" spans="1:14" x14ac:dyDescent="0.3">
      <c r="A509" t="s">
        <v>567</v>
      </c>
      <c r="B509" s="1">
        <v>45645</v>
      </c>
      <c r="C509" s="1" t="str">
        <f t="shared" si="14"/>
        <v>December</v>
      </c>
      <c r="D509" t="s">
        <v>35</v>
      </c>
      <c r="E509" t="s">
        <v>68</v>
      </c>
      <c r="F509" t="s">
        <v>44</v>
      </c>
      <c r="G509">
        <v>4</v>
      </c>
      <c r="H509">
        <v>6293.3</v>
      </c>
      <c r="I509" s="3">
        <v>0.15</v>
      </c>
      <c r="J509" t="s">
        <v>16</v>
      </c>
      <c r="K509" t="s">
        <v>29</v>
      </c>
      <c r="L509" t="s">
        <v>33</v>
      </c>
      <c r="M509">
        <v>21397.22</v>
      </c>
      <c r="N509" t="str">
        <f t="shared" si="15"/>
        <v>High</v>
      </c>
    </row>
    <row r="510" spans="1:14" x14ac:dyDescent="0.3">
      <c r="A510" t="s">
        <v>568</v>
      </c>
      <c r="B510" s="1">
        <v>45334</v>
      </c>
      <c r="C510" s="1" t="str">
        <f t="shared" si="14"/>
        <v>February</v>
      </c>
      <c r="D510" t="s">
        <v>25</v>
      </c>
      <c r="E510" t="s">
        <v>46</v>
      </c>
      <c r="F510" t="s">
        <v>15</v>
      </c>
      <c r="G510">
        <v>1</v>
      </c>
      <c r="H510">
        <v>4666.24</v>
      </c>
      <c r="I510" s="3">
        <v>0</v>
      </c>
      <c r="J510" t="s">
        <v>28</v>
      </c>
      <c r="K510" t="s">
        <v>23</v>
      </c>
      <c r="L510" t="s">
        <v>33</v>
      </c>
      <c r="M510">
        <v>4666.24</v>
      </c>
      <c r="N510" t="str">
        <f t="shared" si="15"/>
        <v>Low</v>
      </c>
    </row>
    <row r="511" spans="1:14" x14ac:dyDescent="0.3">
      <c r="A511" t="s">
        <v>569</v>
      </c>
      <c r="B511" s="1">
        <v>45542</v>
      </c>
      <c r="C511" s="1" t="str">
        <f t="shared" si="14"/>
        <v>September</v>
      </c>
      <c r="D511" t="s">
        <v>25</v>
      </c>
      <c r="E511" t="s">
        <v>94</v>
      </c>
      <c r="F511" t="s">
        <v>1160</v>
      </c>
      <c r="G511">
        <v>1</v>
      </c>
      <c r="H511">
        <v>3836.05</v>
      </c>
      <c r="I511" s="3">
        <v>0.1</v>
      </c>
      <c r="J511" t="s">
        <v>16</v>
      </c>
      <c r="K511" t="s">
        <v>23</v>
      </c>
      <c r="L511" t="s">
        <v>33</v>
      </c>
      <c r="M511">
        <v>3452.45</v>
      </c>
      <c r="N511" t="str">
        <f t="shared" si="15"/>
        <v>Low</v>
      </c>
    </row>
    <row r="512" spans="1:14" x14ac:dyDescent="0.3">
      <c r="A512" t="s">
        <v>570</v>
      </c>
      <c r="B512" s="1">
        <v>45565</v>
      </c>
      <c r="C512" s="1" t="str">
        <f t="shared" si="14"/>
        <v>September</v>
      </c>
      <c r="D512" t="s">
        <v>25</v>
      </c>
      <c r="E512" t="s">
        <v>26</v>
      </c>
      <c r="F512" t="s">
        <v>27</v>
      </c>
      <c r="G512">
        <v>4</v>
      </c>
      <c r="H512">
        <v>4843.21</v>
      </c>
      <c r="I512" s="3">
        <v>0.1</v>
      </c>
      <c r="J512" t="s">
        <v>16</v>
      </c>
      <c r="K512" t="s">
        <v>23</v>
      </c>
      <c r="L512" t="s">
        <v>33</v>
      </c>
      <c r="M512">
        <v>17435.560000000001</v>
      </c>
      <c r="N512" t="str">
        <f t="shared" si="15"/>
        <v>Medium</v>
      </c>
    </row>
    <row r="513" spans="1:14" x14ac:dyDescent="0.3">
      <c r="A513" t="s">
        <v>571</v>
      </c>
      <c r="B513" s="1">
        <v>45351</v>
      </c>
      <c r="C513" s="1" t="str">
        <f t="shared" si="14"/>
        <v>February</v>
      </c>
      <c r="D513" t="s">
        <v>20</v>
      </c>
      <c r="E513" t="s">
        <v>78</v>
      </c>
      <c r="F513" t="s">
        <v>27</v>
      </c>
      <c r="G513">
        <v>3</v>
      </c>
      <c r="H513">
        <v>6047.07</v>
      </c>
      <c r="I513" s="3">
        <v>0.05</v>
      </c>
      <c r="J513" t="s">
        <v>16</v>
      </c>
      <c r="K513" t="s">
        <v>17</v>
      </c>
      <c r="L513" t="s">
        <v>33</v>
      </c>
      <c r="M513">
        <v>17234.150000000001</v>
      </c>
      <c r="N513" t="str">
        <f t="shared" si="15"/>
        <v>Medium</v>
      </c>
    </row>
    <row r="514" spans="1:14" x14ac:dyDescent="0.3">
      <c r="A514" t="s">
        <v>572</v>
      </c>
      <c r="B514" s="1">
        <v>45629</v>
      </c>
      <c r="C514" s="1" t="str">
        <f t="shared" ref="C514:C577" si="16">TEXT(B514,"mmmm")</f>
        <v>December</v>
      </c>
      <c r="D514" t="s">
        <v>25</v>
      </c>
      <c r="E514" t="s">
        <v>46</v>
      </c>
      <c r="F514" t="s">
        <v>27</v>
      </c>
      <c r="G514">
        <v>6</v>
      </c>
      <c r="H514">
        <v>253.12</v>
      </c>
      <c r="I514" s="3">
        <v>0.15</v>
      </c>
      <c r="J514" t="s">
        <v>16</v>
      </c>
      <c r="K514" t="s">
        <v>40</v>
      </c>
      <c r="L514" t="s">
        <v>33</v>
      </c>
      <c r="M514">
        <v>1290.9100000000001</v>
      </c>
      <c r="N514" t="str">
        <f t="shared" ref="N514:N577" si="17">IF(M514&gt;20000,"High",IF(M514&gt;10000,"Medium","Low"))</f>
        <v>Low</v>
      </c>
    </row>
    <row r="515" spans="1:14" x14ac:dyDescent="0.3">
      <c r="A515" t="s">
        <v>573</v>
      </c>
      <c r="B515" s="1">
        <v>45362</v>
      </c>
      <c r="C515" s="1" t="str">
        <f t="shared" si="16"/>
        <v>March</v>
      </c>
      <c r="D515" t="s">
        <v>13</v>
      </c>
      <c r="E515" t="s">
        <v>76</v>
      </c>
      <c r="F515" t="s">
        <v>27</v>
      </c>
      <c r="G515">
        <v>2</v>
      </c>
      <c r="H515">
        <v>3017.63</v>
      </c>
      <c r="I515" s="3">
        <v>0.15</v>
      </c>
      <c r="J515" t="s">
        <v>16</v>
      </c>
      <c r="K515" t="s">
        <v>17</v>
      </c>
      <c r="L515" t="s">
        <v>33</v>
      </c>
      <c r="M515">
        <v>5129.97</v>
      </c>
      <c r="N515" t="str">
        <f t="shared" si="17"/>
        <v>Low</v>
      </c>
    </row>
    <row r="516" spans="1:14" x14ac:dyDescent="0.3">
      <c r="A516" t="s">
        <v>574</v>
      </c>
      <c r="B516" s="1">
        <v>45467</v>
      </c>
      <c r="C516" s="1" t="str">
        <f t="shared" si="16"/>
        <v>June</v>
      </c>
      <c r="D516" t="s">
        <v>13</v>
      </c>
      <c r="E516" t="s">
        <v>108</v>
      </c>
      <c r="F516" t="s">
        <v>32</v>
      </c>
      <c r="G516">
        <v>4</v>
      </c>
      <c r="H516">
        <v>7356.24</v>
      </c>
      <c r="I516" s="3">
        <v>0.1</v>
      </c>
      <c r="J516" t="s">
        <v>28</v>
      </c>
      <c r="K516" t="s">
        <v>29</v>
      </c>
      <c r="L516" t="s">
        <v>18</v>
      </c>
      <c r="M516">
        <v>26482.46</v>
      </c>
      <c r="N516" t="str">
        <f t="shared" si="17"/>
        <v>High</v>
      </c>
    </row>
    <row r="517" spans="1:14" x14ac:dyDescent="0.3">
      <c r="A517" t="s">
        <v>575</v>
      </c>
      <c r="B517" s="1">
        <v>45309</v>
      </c>
      <c r="C517" s="1" t="str">
        <f t="shared" si="16"/>
        <v>January</v>
      </c>
      <c r="D517" t="s">
        <v>20</v>
      </c>
      <c r="E517" t="s">
        <v>61</v>
      </c>
      <c r="F517" t="s">
        <v>1160</v>
      </c>
      <c r="G517">
        <v>2</v>
      </c>
      <c r="H517">
        <v>5649.59</v>
      </c>
      <c r="I517" s="3">
        <v>0.1</v>
      </c>
      <c r="J517" t="s">
        <v>16</v>
      </c>
      <c r="K517" t="s">
        <v>40</v>
      </c>
      <c r="L517" t="s">
        <v>33</v>
      </c>
      <c r="M517">
        <v>10169.26</v>
      </c>
      <c r="N517" t="str">
        <f t="shared" si="17"/>
        <v>Medium</v>
      </c>
    </row>
    <row r="518" spans="1:14" x14ac:dyDescent="0.3">
      <c r="A518" t="s">
        <v>576</v>
      </c>
      <c r="B518" s="1">
        <v>45388</v>
      </c>
      <c r="C518" s="1" t="str">
        <f t="shared" si="16"/>
        <v>April</v>
      </c>
      <c r="D518" t="s">
        <v>20</v>
      </c>
      <c r="E518" t="s">
        <v>78</v>
      </c>
      <c r="F518" t="s">
        <v>44</v>
      </c>
      <c r="G518">
        <v>1</v>
      </c>
      <c r="H518">
        <v>5731.62</v>
      </c>
      <c r="I518" s="3">
        <v>0</v>
      </c>
      <c r="J518" t="s">
        <v>16</v>
      </c>
      <c r="K518" t="s">
        <v>23</v>
      </c>
      <c r="L518" t="s">
        <v>18</v>
      </c>
      <c r="M518">
        <v>5731.62</v>
      </c>
      <c r="N518" t="str">
        <f t="shared" si="17"/>
        <v>Low</v>
      </c>
    </row>
    <row r="519" spans="1:14" x14ac:dyDescent="0.3">
      <c r="A519" t="s">
        <v>577</v>
      </c>
      <c r="B519" s="1">
        <v>45484</v>
      </c>
      <c r="C519" s="1" t="str">
        <f t="shared" si="16"/>
        <v>July</v>
      </c>
      <c r="D519" t="s">
        <v>25</v>
      </c>
      <c r="E519" t="s">
        <v>94</v>
      </c>
      <c r="F519" t="s">
        <v>47</v>
      </c>
      <c r="G519">
        <v>2</v>
      </c>
      <c r="H519">
        <v>2531.7800000000002</v>
      </c>
      <c r="I519" s="3">
        <v>0.15</v>
      </c>
      <c r="J519" t="s">
        <v>55</v>
      </c>
      <c r="K519" t="s">
        <v>29</v>
      </c>
      <c r="L519" t="s">
        <v>18</v>
      </c>
      <c r="M519">
        <v>4304.03</v>
      </c>
      <c r="N519" t="str">
        <f t="shared" si="17"/>
        <v>Low</v>
      </c>
    </row>
    <row r="520" spans="1:14" x14ac:dyDescent="0.3">
      <c r="A520" t="s">
        <v>578</v>
      </c>
      <c r="B520" s="1">
        <v>45393</v>
      </c>
      <c r="C520" s="1" t="str">
        <f t="shared" si="16"/>
        <v>April</v>
      </c>
      <c r="D520" t="s">
        <v>38</v>
      </c>
      <c r="E520" t="s">
        <v>39</v>
      </c>
      <c r="F520" t="s">
        <v>1160</v>
      </c>
      <c r="G520">
        <v>5</v>
      </c>
      <c r="H520">
        <v>4095.6</v>
      </c>
      <c r="I520" s="3">
        <v>0</v>
      </c>
      <c r="J520" t="s">
        <v>22</v>
      </c>
      <c r="K520" t="s">
        <v>40</v>
      </c>
      <c r="L520" t="s">
        <v>33</v>
      </c>
      <c r="M520">
        <v>20478</v>
      </c>
      <c r="N520" t="str">
        <f t="shared" si="17"/>
        <v>High</v>
      </c>
    </row>
    <row r="521" spans="1:14" x14ac:dyDescent="0.3">
      <c r="A521" t="s">
        <v>579</v>
      </c>
      <c r="B521" s="1">
        <v>45578</v>
      </c>
      <c r="C521" s="1" t="str">
        <f t="shared" si="16"/>
        <v>October</v>
      </c>
      <c r="D521" t="s">
        <v>20</v>
      </c>
      <c r="E521" t="s">
        <v>21</v>
      </c>
      <c r="F521" t="s">
        <v>1160</v>
      </c>
      <c r="G521">
        <v>6</v>
      </c>
      <c r="H521">
        <v>5192.17</v>
      </c>
      <c r="I521" s="3">
        <v>0.15</v>
      </c>
      <c r="J521" t="s">
        <v>22</v>
      </c>
      <c r="K521" t="s">
        <v>17</v>
      </c>
      <c r="L521" t="s">
        <v>33</v>
      </c>
      <c r="M521">
        <v>26480.07</v>
      </c>
      <c r="N521" t="str">
        <f t="shared" si="17"/>
        <v>High</v>
      </c>
    </row>
    <row r="522" spans="1:14" x14ac:dyDescent="0.3">
      <c r="A522" t="s">
        <v>580</v>
      </c>
      <c r="B522" s="1">
        <v>45446</v>
      </c>
      <c r="C522" s="1" t="str">
        <f t="shared" si="16"/>
        <v>June</v>
      </c>
      <c r="D522" t="s">
        <v>38</v>
      </c>
      <c r="E522" t="s">
        <v>100</v>
      </c>
      <c r="F522" t="s">
        <v>80</v>
      </c>
      <c r="G522">
        <v>5</v>
      </c>
      <c r="H522">
        <v>6671.41</v>
      </c>
      <c r="I522" s="3">
        <v>0.1</v>
      </c>
      <c r="J522" t="s">
        <v>55</v>
      </c>
      <c r="K522" t="s">
        <v>23</v>
      </c>
      <c r="L522" t="s">
        <v>18</v>
      </c>
      <c r="M522">
        <v>30021.35</v>
      </c>
      <c r="N522" t="str">
        <f t="shared" si="17"/>
        <v>High</v>
      </c>
    </row>
    <row r="523" spans="1:14" x14ac:dyDescent="0.3">
      <c r="A523" t="s">
        <v>581</v>
      </c>
      <c r="B523" s="1">
        <v>45602</v>
      </c>
      <c r="C523" s="1" t="str">
        <f t="shared" si="16"/>
        <v>November</v>
      </c>
      <c r="D523" t="s">
        <v>35</v>
      </c>
      <c r="E523" t="s">
        <v>36</v>
      </c>
      <c r="F523" t="s">
        <v>32</v>
      </c>
      <c r="G523">
        <v>2</v>
      </c>
      <c r="H523">
        <v>273.98</v>
      </c>
      <c r="I523" s="3">
        <v>0.25</v>
      </c>
      <c r="J523" t="s">
        <v>55</v>
      </c>
      <c r="K523" t="s">
        <v>17</v>
      </c>
      <c r="L523" t="s">
        <v>33</v>
      </c>
      <c r="M523">
        <v>410.97</v>
      </c>
      <c r="N523" t="str">
        <f t="shared" si="17"/>
        <v>Low</v>
      </c>
    </row>
    <row r="524" spans="1:14" x14ac:dyDescent="0.3">
      <c r="A524" t="s">
        <v>582</v>
      </c>
      <c r="B524" s="1">
        <v>45361</v>
      </c>
      <c r="C524" s="1" t="str">
        <f t="shared" si="16"/>
        <v>March</v>
      </c>
      <c r="D524" t="s">
        <v>25</v>
      </c>
      <c r="E524" t="s">
        <v>31</v>
      </c>
      <c r="F524" t="s">
        <v>27</v>
      </c>
      <c r="G524">
        <v>4</v>
      </c>
      <c r="H524">
        <v>7959.33</v>
      </c>
      <c r="I524" s="3">
        <v>0.1</v>
      </c>
      <c r="J524" t="s">
        <v>16</v>
      </c>
      <c r="K524" t="s">
        <v>23</v>
      </c>
      <c r="L524" t="s">
        <v>33</v>
      </c>
      <c r="M524">
        <v>28653.59</v>
      </c>
      <c r="N524" t="str">
        <f t="shared" si="17"/>
        <v>High</v>
      </c>
    </row>
    <row r="525" spans="1:14" x14ac:dyDescent="0.3">
      <c r="A525" t="s">
        <v>583</v>
      </c>
      <c r="B525" s="1">
        <v>45514</v>
      </c>
      <c r="C525" s="1" t="str">
        <f t="shared" si="16"/>
        <v>August</v>
      </c>
      <c r="D525" t="s">
        <v>38</v>
      </c>
      <c r="E525" t="s">
        <v>100</v>
      </c>
      <c r="F525" t="s">
        <v>32</v>
      </c>
      <c r="G525">
        <v>4</v>
      </c>
      <c r="H525">
        <v>5624.54</v>
      </c>
      <c r="I525" s="3">
        <v>0</v>
      </c>
      <c r="J525" t="s">
        <v>55</v>
      </c>
      <c r="K525" t="s">
        <v>23</v>
      </c>
      <c r="L525" t="s">
        <v>33</v>
      </c>
      <c r="M525">
        <v>22498.16</v>
      </c>
      <c r="N525" t="str">
        <f t="shared" si="17"/>
        <v>High</v>
      </c>
    </row>
    <row r="526" spans="1:14" x14ac:dyDescent="0.3">
      <c r="A526" t="s">
        <v>584</v>
      </c>
      <c r="B526" s="1">
        <v>45554</v>
      </c>
      <c r="C526" s="1" t="str">
        <f t="shared" si="16"/>
        <v>September</v>
      </c>
      <c r="D526" t="s">
        <v>38</v>
      </c>
      <c r="E526" t="s">
        <v>164</v>
      </c>
      <c r="F526" t="s">
        <v>47</v>
      </c>
      <c r="G526">
        <v>4</v>
      </c>
      <c r="H526">
        <v>6445.94</v>
      </c>
      <c r="I526" s="3">
        <v>0.05</v>
      </c>
      <c r="J526" t="s">
        <v>28</v>
      </c>
      <c r="K526" t="s">
        <v>17</v>
      </c>
      <c r="L526" t="s">
        <v>33</v>
      </c>
      <c r="M526">
        <v>24494.57</v>
      </c>
      <c r="N526" t="str">
        <f t="shared" si="17"/>
        <v>High</v>
      </c>
    </row>
    <row r="527" spans="1:14" x14ac:dyDescent="0.3">
      <c r="A527" t="s">
        <v>585</v>
      </c>
      <c r="B527" s="1">
        <v>45557</v>
      </c>
      <c r="C527" s="1" t="str">
        <f t="shared" si="16"/>
        <v>September</v>
      </c>
      <c r="D527" t="s">
        <v>25</v>
      </c>
      <c r="E527" t="s">
        <v>31</v>
      </c>
      <c r="F527" t="s">
        <v>47</v>
      </c>
      <c r="G527">
        <v>2</v>
      </c>
      <c r="H527">
        <v>1229.3499999999999</v>
      </c>
      <c r="I527" s="3">
        <v>0</v>
      </c>
      <c r="J527" t="s">
        <v>16</v>
      </c>
      <c r="K527" t="s">
        <v>40</v>
      </c>
      <c r="L527" t="s">
        <v>33</v>
      </c>
      <c r="M527">
        <v>2458.6999999999998</v>
      </c>
      <c r="N527" t="str">
        <f t="shared" si="17"/>
        <v>Low</v>
      </c>
    </row>
    <row r="528" spans="1:14" x14ac:dyDescent="0.3">
      <c r="A528" t="s">
        <v>586</v>
      </c>
      <c r="B528" s="1">
        <v>45446</v>
      </c>
      <c r="C528" s="1" t="str">
        <f t="shared" si="16"/>
        <v>June</v>
      </c>
      <c r="D528" t="s">
        <v>38</v>
      </c>
      <c r="E528" t="s">
        <v>164</v>
      </c>
      <c r="F528" t="s">
        <v>15</v>
      </c>
      <c r="G528">
        <v>6</v>
      </c>
      <c r="H528">
        <v>5119.09</v>
      </c>
      <c r="I528" s="3">
        <v>0.05</v>
      </c>
      <c r="J528" t="s">
        <v>28</v>
      </c>
      <c r="K528" t="s">
        <v>49</v>
      </c>
      <c r="L528" t="s">
        <v>33</v>
      </c>
      <c r="M528">
        <v>29178.81</v>
      </c>
      <c r="N528" t="str">
        <f t="shared" si="17"/>
        <v>High</v>
      </c>
    </row>
    <row r="529" spans="1:14" x14ac:dyDescent="0.3">
      <c r="A529" t="s">
        <v>587</v>
      </c>
      <c r="B529" s="1">
        <v>45517</v>
      </c>
      <c r="C529" s="1" t="str">
        <f t="shared" si="16"/>
        <v>August</v>
      </c>
      <c r="D529" t="s">
        <v>13</v>
      </c>
      <c r="E529" t="s">
        <v>76</v>
      </c>
      <c r="F529" t="s">
        <v>1160</v>
      </c>
      <c r="G529">
        <v>1</v>
      </c>
      <c r="H529">
        <v>1070.8699999999999</v>
      </c>
      <c r="I529" s="3">
        <v>0.15</v>
      </c>
      <c r="J529" t="s">
        <v>22</v>
      </c>
      <c r="K529" t="s">
        <v>40</v>
      </c>
      <c r="L529" t="s">
        <v>33</v>
      </c>
      <c r="M529">
        <v>910.24</v>
      </c>
      <c r="N529" t="str">
        <f t="shared" si="17"/>
        <v>Low</v>
      </c>
    </row>
    <row r="530" spans="1:14" x14ac:dyDescent="0.3">
      <c r="A530" t="s">
        <v>588</v>
      </c>
      <c r="B530" s="1">
        <v>45587</v>
      </c>
      <c r="C530" s="1" t="str">
        <f t="shared" si="16"/>
        <v>October</v>
      </c>
      <c r="D530" t="s">
        <v>25</v>
      </c>
      <c r="E530" t="s">
        <v>31</v>
      </c>
      <c r="F530" t="s">
        <v>44</v>
      </c>
      <c r="G530">
        <v>4</v>
      </c>
      <c r="H530">
        <v>4644.7700000000004</v>
      </c>
      <c r="I530" s="3">
        <v>0.05</v>
      </c>
      <c r="J530" t="s">
        <v>16</v>
      </c>
      <c r="K530" t="s">
        <v>29</v>
      </c>
      <c r="L530" t="s">
        <v>33</v>
      </c>
      <c r="M530">
        <v>17650.13</v>
      </c>
      <c r="N530" t="str">
        <f t="shared" si="17"/>
        <v>Medium</v>
      </c>
    </row>
    <row r="531" spans="1:14" x14ac:dyDescent="0.3">
      <c r="A531" t="s">
        <v>589</v>
      </c>
      <c r="B531" s="1">
        <v>45482</v>
      </c>
      <c r="C531" s="1" t="str">
        <f t="shared" si="16"/>
        <v>July</v>
      </c>
      <c r="D531" t="s">
        <v>20</v>
      </c>
      <c r="E531" t="s">
        <v>78</v>
      </c>
      <c r="F531" t="s">
        <v>27</v>
      </c>
      <c r="G531">
        <v>3</v>
      </c>
      <c r="H531">
        <v>7779.32</v>
      </c>
      <c r="I531" s="3">
        <v>0</v>
      </c>
      <c r="J531" t="s">
        <v>55</v>
      </c>
      <c r="K531" t="s">
        <v>49</v>
      </c>
      <c r="L531" t="s">
        <v>18</v>
      </c>
      <c r="M531">
        <v>23337.96</v>
      </c>
      <c r="N531" t="str">
        <f t="shared" si="17"/>
        <v>High</v>
      </c>
    </row>
    <row r="532" spans="1:14" x14ac:dyDescent="0.3">
      <c r="A532" t="s">
        <v>590</v>
      </c>
      <c r="B532" s="1">
        <v>45581</v>
      </c>
      <c r="C532" s="1" t="str">
        <f t="shared" si="16"/>
        <v>October</v>
      </c>
      <c r="D532" t="s">
        <v>13</v>
      </c>
      <c r="E532" t="s">
        <v>76</v>
      </c>
      <c r="F532" t="s">
        <v>1160</v>
      </c>
      <c r="G532">
        <v>1</v>
      </c>
      <c r="H532">
        <v>1337.97</v>
      </c>
      <c r="I532" s="3">
        <v>0</v>
      </c>
      <c r="J532" t="s">
        <v>22</v>
      </c>
      <c r="K532" t="s">
        <v>23</v>
      </c>
      <c r="L532" t="s">
        <v>33</v>
      </c>
      <c r="M532">
        <v>1337.97</v>
      </c>
      <c r="N532" t="str">
        <f t="shared" si="17"/>
        <v>Low</v>
      </c>
    </row>
    <row r="533" spans="1:14" x14ac:dyDescent="0.3">
      <c r="A533" t="s">
        <v>591</v>
      </c>
      <c r="B533" s="1">
        <v>45519</v>
      </c>
      <c r="C533" s="1" t="str">
        <f t="shared" si="16"/>
        <v>August</v>
      </c>
      <c r="D533" t="s">
        <v>38</v>
      </c>
      <c r="E533" t="s">
        <v>100</v>
      </c>
      <c r="F533" t="s">
        <v>44</v>
      </c>
      <c r="G533">
        <v>4</v>
      </c>
      <c r="H533">
        <v>1066.2</v>
      </c>
      <c r="I533" s="3">
        <v>0.05</v>
      </c>
      <c r="J533" t="s">
        <v>16</v>
      </c>
      <c r="K533" t="s">
        <v>17</v>
      </c>
      <c r="L533" t="s">
        <v>33</v>
      </c>
      <c r="M533">
        <v>4051.56</v>
      </c>
      <c r="N533" t="str">
        <f t="shared" si="17"/>
        <v>Low</v>
      </c>
    </row>
    <row r="534" spans="1:14" x14ac:dyDescent="0.3">
      <c r="A534" t="s">
        <v>592</v>
      </c>
      <c r="B534" s="1">
        <v>45327</v>
      </c>
      <c r="C534" s="1" t="str">
        <f t="shared" si="16"/>
        <v>February</v>
      </c>
      <c r="D534" t="s">
        <v>35</v>
      </c>
      <c r="E534" t="s">
        <v>65</v>
      </c>
      <c r="F534" t="s">
        <v>1160</v>
      </c>
      <c r="G534">
        <v>6</v>
      </c>
      <c r="H534">
        <v>6500.24</v>
      </c>
      <c r="I534" s="3">
        <v>0.25</v>
      </c>
      <c r="J534" t="s">
        <v>28</v>
      </c>
      <c r="K534" t="s">
        <v>49</v>
      </c>
      <c r="L534" t="s">
        <v>18</v>
      </c>
      <c r="M534">
        <v>29251.08</v>
      </c>
      <c r="N534" t="str">
        <f t="shared" si="17"/>
        <v>High</v>
      </c>
    </row>
    <row r="535" spans="1:14" x14ac:dyDescent="0.3">
      <c r="A535" t="s">
        <v>593</v>
      </c>
      <c r="B535" s="1">
        <v>45467</v>
      </c>
      <c r="C535" s="1" t="str">
        <f t="shared" si="16"/>
        <v>June</v>
      </c>
      <c r="D535" t="s">
        <v>25</v>
      </c>
      <c r="E535" t="s">
        <v>26</v>
      </c>
      <c r="F535" t="s">
        <v>44</v>
      </c>
      <c r="G535">
        <v>2</v>
      </c>
      <c r="H535">
        <v>4647.47</v>
      </c>
      <c r="I535" s="3">
        <v>0.15</v>
      </c>
      <c r="J535" t="s">
        <v>16</v>
      </c>
      <c r="K535" t="s">
        <v>29</v>
      </c>
      <c r="L535" t="s">
        <v>18</v>
      </c>
      <c r="M535">
        <v>7900.7</v>
      </c>
      <c r="N535" t="str">
        <f t="shared" si="17"/>
        <v>Low</v>
      </c>
    </row>
    <row r="536" spans="1:14" x14ac:dyDescent="0.3">
      <c r="A536" t="s">
        <v>594</v>
      </c>
      <c r="B536" s="1">
        <v>45348</v>
      </c>
      <c r="C536" s="1" t="str">
        <f t="shared" si="16"/>
        <v>February</v>
      </c>
      <c r="D536" t="s">
        <v>13</v>
      </c>
      <c r="E536" t="s">
        <v>70</v>
      </c>
      <c r="F536" t="s">
        <v>32</v>
      </c>
      <c r="G536">
        <v>3</v>
      </c>
      <c r="H536">
        <v>3371.86</v>
      </c>
      <c r="I536" s="3">
        <v>0.05</v>
      </c>
      <c r="J536" t="s">
        <v>22</v>
      </c>
      <c r="K536" t="s">
        <v>23</v>
      </c>
      <c r="L536" t="s">
        <v>33</v>
      </c>
      <c r="M536">
        <v>9609.7999999999993</v>
      </c>
      <c r="N536" t="str">
        <f t="shared" si="17"/>
        <v>Low</v>
      </c>
    </row>
    <row r="537" spans="1:14" x14ac:dyDescent="0.3">
      <c r="A537" t="s">
        <v>595</v>
      </c>
      <c r="B537" s="1">
        <v>45555</v>
      </c>
      <c r="C537" s="1" t="str">
        <f t="shared" si="16"/>
        <v>September</v>
      </c>
      <c r="D537" t="s">
        <v>13</v>
      </c>
      <c r="E537" t="s">
        <v>70</v>
      </c>
      <c r="F537" t="s">
        <v>47</v>
      </c>
      <c r="G537">
        <v>3</v>
      </c>
      <c r="H537">
        <v>2149.11</v>
      </c>
      <c r="I537" s="3">
        <v>0.1</v>
      </c>
      <c r="J537" t="s">
        <v>55</v>
      </c>
      <c r="K537" t="s">
        <v>49</v>
      </c>
      <c r="L537" t="s">
        <v>33</v>
      </c>
      <c r="M537">
        <v>5802.6</v>
      </c>
      <c r="N537" t="str">
        <f t="shared" si="17"/>
        <v>Low</v>
      </c>
    </row>
    <row r="538" spans="1:14" x14ac:dyDescent="0.3">
      <c r="A538" t="s">
        <v>596</v>
      </c>
      <c r="B538" s="1">
        <v>45359</v>
      </c>
      <c r="C538" s="1" t="str">
        <f t="shared" si="16"/>
        <v>March</v>
      </c>
      <c r="D538" t="s">
        <v>25</v>
      </c>
      <c r="E538" t="s">
        <v>26</v>
      </c>
      <c r="F538" t="s">
        <v>44</v>
      </c>
      <c r="G538">
        <v>2</v>
      </c>
      <c r="H538">
        <v>5842.62</v>
      </c>
      <c r="I538" s="3">
        <v>0.05</v>
      </c>
      <c r="J538" t="s">
        <v>55</v>
      </c>
      <c r="K538" t="s">
        <v>23</v>
      </c>
      <c r="L538" t="s">
        <v>33</v>
      </c>
      <c r="M538">
        <v>11100.98</v>
      </c>
      <c r="N538" t="str">
        <f t="shared" si="17"/>
        <v>Medium</v>
      </c>
    </row>
    <row r="539" spans="1:14" x14ac:dyDescent="0.3">
      <c r="A539" t="s">
        <v>597</v>
      </c>
      <c r="B539" s="1">
        <v>45382</v>
      </c>
      <c r="C539" s="1" t="str">
        <f t="shared" si="16"/>
        <v>March</v>
      </c>
      <c r="D539" t="s">
        <v>35</v>
      </c>
      <c r="E539" t="s">
        <v>65</v>
      </c>
      <c r="F539" t="s">
        <v>27</v>
      </c>
      <c r="G539">
        <v>5</v>
      </c>
      <c r="H539">
        <v>2768.16</v>
      </c>
      <c r="I539" s="3">
        <v>0.1</v>
      </c>
      <c r="J539" t="s">
        <v>55</v>
      </c>
      <c r="K539" t="s">
        <v>17</v>
      </c>
      <c r="L539" t="s">
        <v>33</v>
      </c>
      <c r="M539">
        <v>12456.72</v>
      </c>
      <c r="N539" t="str">
        <f t="shared" si="17"/>
        <v>Medium</v>
      </c>
    </row>
    <row r="540" spans="1:14" x14ac:dyDescent="0.3">
      <c r="A540" t="s">
        <v>598</v>
      </c>
      <c r="B540" s="1">
        <v>45640</v>
      </c>
      <c r="C540" s="1" t="str">
        <f t="shared" si="16"/>
        <v>December</v>
      </c>
      <c r="D540" t="s">
        <v>20</v>
      </c>
      <c r="E540" t="s">
        <v>61</v>
      </c>
      <c r="F540" t="s">
        <v>80</v>
      </c>
      <c r="G540">
        <v>5</v>
      </c>
      <c r="H540">
        <v>2231.69</v>
      </c>
      <c r="I540" s="3">
        <v>0.2</v>
      </c>
      <c r="J540" t="s">
        <v>16</v>
      </c>
      <c r="K540" t="s">
        <v>49</v>
      </c>
      <c r="L540" t="s">
        <v>33</v>
      </c>
      <c r="M540">
        <v>8926.76</v>
      </c>
      <c r="N540" t="str">
        <f t="shared" si="17"/>
        <v>Low</v>
      </c>
    </row>
    <row r="541" spans="1:14" x14ac:dyDescent="0.3">
      <c r="A541" t="s">
        <v>599</v>
      </c>
      <c r="B541" s="1">
        <v>45441</v>
      </c>
      <c r="C541" s="1" t="str">
        <f t="shared" si="16"/>
        <v>May</v>
      </c>
      <c r="D541" t="s">
        <v>13</v>
      </c>
      <c r="E541" t="s">
        <v>70</v>
      </c>
      <c r="F541" t="s">
        <v>1160</v>
      </c>
      <c r="G541">
        <v>3</v>
      </c>
      <c r="H541">
        <v>6329.92</v>
      </c>
      <c r="I541" s="3">
        <v>0</v>
      </c>
      <c r="J541" t="s">
        <v>22</v>
      </c>
      <c r="K541" t="s">
        <v>40</v>
      </c>
      <c r="L541" t="s">
        <v>33</v>
      </c>
      <c r="M541">
        <v>18989.759999999998</v>
      </c>
      <c r="N541" t="str">
        <f t="shared" si="17"/>
        <v>Medium</v>
      </c>
    </row>
    <row r="542" spans="1:14" x14ac:dyDescent="0.3">
      <c r="A542" t="s">
        <v>600</v>
      </c>
      <c r="B542" s="1">
        <v>45614</v>
      </c>
      <c r="C542" s="1" t="str">
        <f t="shared" si="16"/>
        <v>November</v>
      </c>
      <c r="D542" t="s">
        <v>25</v>
      </c>
      <c r="E542" t="s">
        <v>46</v>
      </c>
      <c r="F542" t="s">
        <v>53</v>
      </c>
      <c r="G542">
        <v>5</v>
      </c>
      <c r="H542">
        <v>6943.58</v>
      </c>
      <c r="I542" s="3">
        <v>0.1</v>
      </c>
      <c r="J542" t="s">
        <v>16</v>
      </c>
      <c r="K542" t="s">
        <v>29</v>
      </c>
      <c r="L542" t="s">
        <v>33</v>
      </c>
      <c r="M542">
        <v>31246.11</v>
      </c>
      <c r="N542" t="str">
        <f t="shared" si="17"/>
        <v>High</v>
      </c>
    </row>
    <row r="543" spans="1:14" x14ac:dyDescent="0.3">
      <c r="A543" t="s">
        <v>601</v>
      </c>
      <c r="B543" s="1">
        <v>45575</v>
      </c>
      <c r="C543" s="1" t="str">
        <f t="shared" si="16"/>
        <v>October</v>
      </c>
      <c r="D543" t="s">
        <v>35</v>
      </c>
      <c r="E543" t="s">
        <v>65</v>
      </c>
      <c r="F543" t="s">
        <v>80</v>
      </c>
      <c r="G543">
        <v>3</v>
      </c>
      <c r="H543">
        <v>5717.56</v>
      </c>
      <c r="I543" s="3">
        <v>0.1</v>
      </c>
      <c r="J543" t="s">
        <v>28</v>
      </c>
      <c r="K543" t="s">
        <v>40</v>
      </c>
      <c r="L543" t="s">
        <v>33</v>
      </c>
      <c r="M543">
        <v>15437.41</v>
      </c>
      <c r="N543" t="str">
        <f t="shared" si="17"/>
        <v>Medium</v>
      </c>
    </row>
    <row r="544" spans="1:14" x14ac:dyDescent="0.3">
      <c r="A544" t="s">
        <v>602</v>
      </c>
      <c r="B544" s="1">
        <v>45471</v>
      </c>
      <c r="C544" s="1" t="str">
        <f t="shared" si="16"/>
        <v>June</v>
      </c>
      <c r="D544" t="s">
        <v>35</v>
      </c>
      <c r="E544" t="s">
        <v>68</v>
      </c>
      <c r="F544" t="s">
        <v>15</v>
      </c>
      <c r="G544">
        <v>5</v>
      </c>
      <c r="H544">
        <v>1615.64</v>
      </c>
      <c r="I544" s="3">
        <v>0.2</v>
      </c>
      <c r="J544" t="s">
        <v>16</v>
      </c>
      <c r="K544" t="s">
        <v>49</v>
      </c>
      <c r="L544" t="s">
        <v>33</v>
      </c>
      <c r="M544">
        <v>6462.56</v>
      </c>
      <c r="N544" t="str">
        <f t="shared" si="17"/>
        <v>Low</v>
      </c>
    </row>
    <row r="545" spans="1:14" x14ac:dyDescent="0.3">
      <c r="A545" t="s">
        <v>603</v>
      </c>
      <c r="B545" s="1">
        <v>45575</v>
      </c>
      <c r="C545" s="1" t="str">
        <f t="shared" si="16"/>
        <v>October</v>
      </c>
      <c r="D545" t="s">
        <v>20</v>
      </c>
      <c r="E545" t="s">
        <v>57</v>
      </c>
      <c r="F545" t="s">
        <v>53</v>
      </c>
      <c r="G545">
        <v>2</v>
      </c>
      <c r="H545">
        <v>390.83</v>
      </c>
      <c r="I545" s="3">
        <v>0.15</v>
      </c>
      <c r="J545" t="s">
        <v>28</v>
      </c>
      <c r="K545" t="s">
        <v>49</v>
      </c>
      <c r="L545" t="s">
        <v>33</v>
      </c>
      <c r="M545">
        <v>664.41</v>
      </c>
      <c r="N545" t="str">
        <f t="shared" si="17"/>
        <v>Low</v>
      </c>
    </row>
    <row r="546" spans="1:14" x14ac:dyDescent="0.3">
      <c r="A546" t="s">
        <v>604</v>
      </c>
      <c r="B546" s="1">
        <v>45336</v>
      </c>
      <c r="C546" s="1" t="str">
        <f t="shared" si="16"/>
        <v>February</v>
      </c>
      <c r="D546" t="s">
        <v>20</v>
      </c>
      <c r="E546" t="s">
        <v>21</v>
      </c>
      <c r="F546" t="s">
        <v>80</v>
      </c>
      <c r="G546">
        <v>1</v>
      </c>
      <c r="H546">
        <v>5254.38</v>
      </c>
      <c r="I546" s="3">
        <v>0.05</v>
      </c>
      <c r="J546" t="s">
        <v>16</v>
      </c>
      <c r="K546" t="s">
        <v>40</v>
      </c>
      <c r="L546" t="s">
        <v>33</v>
      </c>
      <c r="M546">
        <v>4991.66</v>
      </c>
      <c r="N546" t="str">
        <f t="shared" si="17"/>
        <v>Low</v>
      </c>
    </row>
    <row r="547" spans="1:14" x14ac:dyDescent="0.3">
      <c r="A547" t="s">
        <v>605</v>
      </c>
      <c r="B547" s="1">
        <v>45455</v>
      </c>
      <c r="C547" s="1" t="str">
        <f t="shared" si="16"/>
        <v>June</v>
      </c>
      <c r="D547" t="s">
        <v>38</v>
      </c>
      <c r="E547" t="s">
        <v>164</v>
      </c>
      <c r="F547" t="s">
        <v>27</v>
      </c>
      <c r="G547">
        <v>2</v>
      </c>
      <c r="H547">
        <v>1200.28</v>
      </c>
      <c r="I547" s="3">
        <v>0.05</v>
      </c>
      <c r="J547" t="s">
        <v>55</v>
      </c>
      <c r="K547" t="s">
        <v>49</v>
      </c>
      <c r="L547" t="s">
        <v>33</v>
      </c>
      <c r="M547">
        <v>2280.5300000000002</v>
      </c>
      <c r="N547" t="str">
        <f t="shared" si="17"/>
        <v>Low</v>
      </c>
    </row>
    <row r="548" spans="1:14" x14ac:dyDescent="0.3">
      <c r="A548" t="s">
        <v>606</v>
      </c>
      <c r="B548" s="1">
        <v>45562</v>
      </c>
      <c r="C548" s="1" t="str">
        <f t="shared" si="16"/>
        <v>September</v>
      </c>
      <c r="D548" t="s">
        <v>38</v>
      </c>
      <c r="E548" t="s">
        <v>100</v>
      </c>
      <c r="F548" t="s">
        <v>53</v>
      </c>
      <c r="G548">
        <v>3</v>
      </c>
      <c r="H548">
        <v>4907.68</v>
      </c>
      <c r="I548" s="3">
        <v>0.25</v>
      </c>
      <c r="J548" t="s">
        <v>22</v>
      </c>
      <c r="K548" t="s">
        <v>49</v>
      </c>
      <c r="L548" t="s">
        <v>18</v>
      </c>
      <c r="M548">
        <v>11042.28</v>
      </c>
      <c r="N548" t="str">
        <f t="shared" si="17"/>
        <v>Medium</v>
      </c>
    </row>
    <row r="549" spans="1:14" x14ac:dyDescent="0.3">
      <c r="A549" t="s">
        <v>607</v>
      </c>
      <c r="B549" s="1">
        <v>45369</v>
      </c>
      <c r="C549" s="1" t="str">
        <f t="shared" si="16"/>
        <v>March</v>
      </c>
      <c r="D549" t="s">
        <v>25</v>
      </c>
      <c r="E549" t="s">
        <v>46</v>
      </c>
      <c r="F549" t="s">
        <v>53</v>
      </c>
      <c r="G549">
        <v>3</v>
      </c>
      <c r="H549">
        <v>2677.94</v>
      </c>
      <c r="I549" s="3">
        <v>0.2</v>
      </c>
      <c r="J549" t="s">
        <v>16</v>
      </c>
      <c r="K549" t="s">
        <v>29</v>
      </c>
      <c r="L549" t="s">
        <v>33</v>
      </c>
      <c r="M549">
        <v>6427.06</v>
      </c>
      <c r="N549" t="str">
        <f t="shared" si="17"/>
        <v>Low</v>
      </c>
    </row>
    <row r="550" spans="1:14" x14ac:dyDescent="0.3">
      <c r="A550" t="s">
        <v>608</v>
      </c>
      <c r="B550" s="1">
        <v>45646</v>
      </c>
      <c r="C550" s="1" t="str">
        <f t="shared" si="16"/>
        <v>December</v>
      </c>
      <c r="D550" t="s">
        <v>35</v>
      </c>
      <c r="E550" t="s">
        <v>63</v>
      </c>
      <c r="F550" t="s">
        <v>27</v>
      </c>
      <c r="G550">
        <v>1</v>
      </c>
      <c r="H550">
        <v>3066.74</v>
      </c>
      <c r="I550" s="3">
        <v>0.15</v>
      </c>
      <c r="J550" t="s">
        <v>22</v>
      </c>
      <c r="K550" t="s">
        <v>29</v>
      </c>
      <c r="L550" t="s">
        <v>33</v>
      </c>
      <c r="M550">
        <v>2606.73</v>
      </c>
      <c r="N550" t="str">
        <f t="shared" si="17"/>
        <v>Low</v>
      </c>
    </row>
    <row r="551" spans="1:14" x14ac:dyDescent="0.3">
      <c r="A551" t="s">
        <v>609</v>
      </c>
      <c r="B551" s="1">
        <v>45453</v>
      </c>
      <c r="C551" s="1" t="str">
        <f t="shared" si="16"/>
        <v>June</v>
      </c>
      <c r="D551" t="s">
        <v>13</v>
      </c>
      <c r="E551" t="s">
        <v>70</v>
      </c>
      <c r="F551" t="s">
        <v>53</v>
      </c>
      <c r="G551">
        <v>1</v>
      </c>
      <c r="H551">
        <v>2922.95</v>
      </c>
      <c r="I551" s="3">
        <v>0.2</v>
      </c>
      <c r="J551" t="s">
        <v>22</v>
      </c>
      <c r="K551" t="s">
        <v>29</v>
      </c>
      <c r="L551" t="s">
        <v>33</v>
      </c>
      <c r="M551">
        <v>2338.36</v>
      </c>
      <c r="N551" t="str">
        <f t="shared" si="17"/>
        <v>Low</v>
      </c>
    </row>
    <row r="552" spans="1:14" x14ac:dyDescent="0.3">
      <c r="A552" t="s">
        <v>610</v>
      </c>
      <c r="B552" s="1">
        <v>45647</v>
      </c>
      <c r="C552" s="1" t="str">
        <f t="shared" si="16"/>
        <v>December</v>
      </c>
      <c r="D552" t="s">
        <v>35</v>
      </c>
      <c r="E552" t="s">
        <v>97</v>
      </c>
      <c r="F552" t="s">
        <v>53</v>
      </c>
      <c r="G552">
        <v>2</v>
      </c>
      <c r="H552">
        <v>5306.5</v>
      </c>
      <c r="I552" s="3">
        <v>0.2</v>
      </c>
      <c r="J552" t="s">
        <v>16</v>
      </c>
      <c r="K552" t="s">
        <v>23</v>
      </c>
      <c r="L552" t="s">
        <v>33</v>
      </c>
      <c r="M552">
        <v>8490.4</v>
      </c>
      <c r="N552" t="str">
        <f t="shared" si="17"/>
        <v>Low</v>
      </c>
    </row>
    <row r="553" spans="1:14" x14ac:dyDescent="0.3">
      <c r="A553" t="s">
        <v>611</v>
      </c>
      <c r="B553" s="1">
        <v>45360</v>
      </c>
      <c r="C553" s="1" t="str">
        <f t="shared" si="16"/>
        <v>March</v>
      </c>
      <c r="D553" t="s">
        <v>25</v>
      </c>
      <c r="E553" t="s">
        <v>94</v>
      </c>
      <c r="F553" t="s">
        <v>53</v>
      </c>
      <c r="G553">
        <v>2</v>
      </c>
      <c r="H553">
        <v>957.82</v>
      </c>
      <c r="I553" s="3">
        <v>0.05</v>
      </c>
      <c r="J553" t="s">
        <v>22</v>
      </c>
      <c r="K553" t="s">
        <v>23</v>
      </c>
      <c r="L553" t="s">
        <v>18</v>
      </c>
      <c r="M553">
        <f>Orders[[#This Row],[Quantity]]*Orders[[#This Row],[UnitPrice]]-Orders[[#This Row],[Discount%]]</f>
        <v>1915.5900000000001</v>
      </c>
      <c r="N553" t="str">
        <f t="shared" si="17"/>
        <v>Low</v>
      </c>
    </row>
    <row r="554" spans="1:14" x14ac:dyDescent="0.3">
      <c r="A554" t="s">
        <v>612</v>
      </c>
      <c r="B554" s="1">
        <v>45370</v>
      </c>
      <c r="C554" s="1" t="str">
        <f t="shared" si="16"/>
        <v>March</v>
      </c>
      <c r="D554" t="s">
        <v>20</v>
      </c>
      <c r="E554" t="s">
        <v>21</v>
      </c>
      <c r="F554" t="s">
        <v>1160</v>
      </c>
      <c r="G554">
        <v>4</v>
      </c>
      <c r="H554">
        <v>4320.37</v>
      </c>
      <c r="I554" s="3">
        <v>0.05</v>
      </c>
      <c r="J554" t="s">
        <v>16</v>
      </c>
      <c r="K554" t="s">
        <v>17</v>
      </c>
      <c r="L554" t="s">
        <v>33</v>
      </c>
      <c r="M554">
        <v>16417.41</v>
      </c>
      <c r="N554" t="str">
        <f t="shared" si="17"/>
        <v>Medium</v>
      </c>
    </row>
    <row r="555" spans="1:14" x14ac:dyDescent="0.3">
      <c r="A555" t="s">
        <v>613</v>
      </c>
      <c r="B555" s="1">
        <v>45447</v>
      </c>
      <c r="C555" s="1" t="str">
        <f t="shared" si="16"/>
        <v>June</v>
      </c>
      <c r="D555" t="s">
        <v>35</v>
      </c>
      <c r="E555" t="s">
        <v>63</v>
      </c>
      <c r="F555" t="s">
        <v>80</v>
      </c>
      <c r="G555">
        <v>5</v>
      </c>
      <c r="H555">
        <v>5894.84</v>
      </c>
      <c r="I555" s="3">
        <v>0.25</v>
      </c>
      <c r="J555" t="s">
        <v>16</v>
      </c>
      <c r="K555" t="s">
        <v>49</v>
      </c>
      <c r="L555" t="s">
        <v>33</v>
      </c>
      <c r="M555">
        <v>22105.65</v>
      </c>
      <c r="N555" t="str">
        <f t="shared" si="17"/>
        <v>High</v>
      </c>
    </row>
    <row r="556" spans="1:14" x14ac:dyDescent="0.3">
      <c r="A556" t="s">
        <v>614</v>
      </c>
      <c r="B556" s="1">
        <v>45296</v>
      </c>
      <c r="C556" s="1" t="str">
        <f t="shared" si="16"/>
        <v>January</v>
      </c>
      <c r="D556" t="s">
        <v>35</v>
      </c>
      <c r="E556" t="s">
        <v>65</v>
      </c>
      <c r="F556" t="s">
        <v>47</v>
      </c>
      <c r="G556">
        <v>3</v>
      </c>
      <c r="H556">
        <v>3902.96</v>
      </c>
      <c r="I556" s="3">
        <v>0.2</v>
      </c>
      <c r="J556" t="s">
        <v>16</v>
      </c>
      <c r="K556" t="s">
        <v>17</v>
      </c>
      <c r="L556" t="s">
        <v>18</v>
      </c>
      <c r="M556">
        <v>9367.1</v>
      </c>
      <c r="N556" t="str">
        <f t="shared" si="17"/>
        <v>Low</v>
      </c>
    </row>
    <row r="557" spans="1:14" x14ac:dyDescent="0.3">
      <c r="A557" t="s">
        <v>615</v>
      </c>
      <c r="B557" s="1">
        <v>45456</v>
      </c>
      <c r="C557" s="1" t="str">
        <f t="shared" si="16"/>
        <v>June</v>
      </c>
      <c r="D557" t="s">
        <v>35</v>
      </c>
      <c r="E557" t="s">
        <v>36</v>
      </c>
      <c r="F557" t="s">
        <v>15</v>
      </c>
      <c r="G557">
        <v>2</v>
      </c>
      <c r="H557">
        <v>2199.69</v>
      </c>
      <c r="I557" s="3">
        <v>0.25</v>
      </c>
      <c r="J557" t="s">
        <v>22</v>
      </c>
      <c r="K557" t="s">
        <v>17</v>
      </c>
      <c r="L557" t="s">
        <v>33</v>
      </c>
      <c r="M557">
        <v>3299.53</v>
      </c>
      <c r="N557" t="str">
        <f t="shared" si="17"/>
        <v>Low</v>
      </c>
    </row>
    <row r="558" spans="1:14" x14ac:dyDescent="0.3">
      <c r="A558" t="s">
        <v>616</v>
      </c>
      <c r="B558" s="1">
        <v>45541</v>
      </c>
      <c r="C558" s="1" t="str">
        <f t="shared" si="16"/>
        <v>September</v>
      </c>
      <c r="D558" t="s">
        <v>25</v>
      </c>
      <c r="E558" t="s">
        <v>94</v>
      </c>
      <c r="F558" t="s">
        <v>80</v>
      </c>
      <c r="G558">
        <v>6</v>
      </c>
      <c r="H558">
        <v>1856.15</v>
      </c>
      <c r="I558" s="3">
        <v>0.2</v>
      </c>
      <c r="J558" t="s">
        <v>16</v>
      </c>
      <c r="K558" t="s">
        <v>23</v>
      </c>
      <c r="L558" t="s">
        <v>33</v>
      </c>
      <c r="M558">
        <v>8909.52</v>
      </c>
      <c r="N558" t="str">
        <f t="shared" si="17"/>
        <v>Low</v>
      </c>
    </row>
    <row r="559" spans="1:14" x14ac:dyDescent="0.3">
      <c r="A559" t="s">
        <v>617</v>
      </c>
      <c r="B559" s="1">
        <v>45466</v>
      </c>
      <c r="C559" s="1" t="str">
        <f t="shared" si="16"/>
        <v>June</v>
      </c>
      <c r="D559" t="s">
        <v>20</v>
      </c>
      <c r="E559" t="s">
        <v>61</v>
      </c>
      <c r="F559" t="s">
        <v>1160</v>
      </c>
      <c r="G559">
        <v>1</v>
      </c>
      <c r="H559">
        <v>3300.3</v>
      </c>
      <c r="I559" s="3">
        <v>0.1</v>
      </c>
      <c r="J559" t="s">
        <v>16</v>
      </c>
      <c r="K559" t="s">
        <v>17</v>
      </c>
      <c r="L559" t="s">
        <v>33</v>
      </c>
      <c r="M559">
        <v>2970.27</v>
      </c>
      <c r="N559" t="str">
        <f t="shared" si="17"/>
        <v>Low</v>
      </c>
    </row>
    <row r="560" spans="1:14" x14ac:dyDescent="0.3">
      <c r="A560" t="s">
        <v>618</v>
      </c>
      <c r="B560" s="1">
        <v>45524</v>
      </c>
      <c r="C560" s="1" t="str">
        <f t="shared" si="16"/>
        <v>August</v>
      </c>
      <c r="D560" t="s">
        <v>25</v>
      </c>
      <c r="E560" t="s">
        <v>26</v>
      </c>
      <c r="F560" t="s">
        <v>44</v>
      </c>
      <c r="G560">
        <v>4</v>
      </c>
      <c r="H560">
        <v>6876.95</v>
      </c>
      <c r="I560" s="3">
        <v>0.2</v>
      </c>
      <c r="J560" t="s">
        <v>16</v>
      </c>
      <c r="K560" t="s">
        <v>49</v>
      </c>
      <c r="L560" t="s">
        <v>18</v>
      </c>
      <c r="M560">
        <v>22006.240000000002</v>
      </c>
      <c r="N560" t="str">
        <f t="shared" si="17"/>
        <v>High</v>
      </c>
    </row>
    <row r="561" spans="1:14" x14ac:dyDescent="0.3">
      <c r="A561" t="s">
        <v>619</v>
      </c>
      <c r="B561" s="1">
        <v>45430</v>
      </c>
      <c r="C561" s="1" t="str">
        <f t="shared" si="16"/>
        <v>May</v>
      </c>
      <c r="D561" t="s">
        <v>38</v>
      </c>
      <c r="E561" t="s">
        <v>164</v>
      </c>
      <c r="F561" t="s">
        <v>1160</v>
      </c>
      <c r="G561">
        <v>3</v>
      </c>
      <c r="H561">
        <v>5940.31</v>
      </c>
      <c r="I561" s="3">
        <v>0</v>
      </c>
      <c r="J561" t="s">
        <v>16</v>
      </c>
      <c r="K561" t="s">
        <v>40</v>
      </c>
      <c r="L561" t="s">
        <v>33</v>
      </c>
      <c r="M561">
        <v>17820.93</v>
      </c>
      <c r="N561" t="str">
        <f t="shared" si="17"/>
        <v>Medium</v>
      </c>
    </row>
    <row r="562" spans="1:14" x14ac:dyDescent="0.3">
      <c r="A562" t="s">
        <v>620</v>
      </c>
      <c r="B562" s="1">
        <v>45364</v>
      </c>
      <c r="C562" s="1" t="str">
        <f t="shared" si="16"/>
        <v>March</v>
      </c>
      <c r="D562" t="s">
        <v>13</v>
      </c>
      <c r="E562" t="s">
        <v>108</v>
      </c>
      <c r="F562" t="s">
        <v>27</v>
      </c>
      <c r="G562">
        <v>2</v>
      </c>
      <c r="H562">
        <v>6357.21</v>
      </c>
      <c r="I562" s="3">
        <v>0</v>
      </c>
      <c r="J562" t="s">
        <v>28</v>
      </c>
      <c r="K562" t="s">
        <v>29</v>
      </c>
      <c r="L562" t="s">
        <v>33</v>
      </c>
      <c r="M562">
        <v>12714.42</v>
      </c>
      <c r="N562" t="str">
        <f t="shared" si="17"/>
        <v>Medium</v>
      </c>
    </row>
    <row r="563" spans="1:14" x14ac:dyDescent="0.3">
      <c r="A563" t="s">
        <v>621</v>
      </c>
      <c r="B563" s="1">
        <v>45483</v>
      </c>
      <c r="C563" s="1" t="str">
        <f t="shared" si="16"/>
        <v>July</v>
      </c>
      <c r="D563" t="s">
        <v>25</v>
      </c>
      <c r="E563" t="s">
        <v>31</v>
      </c>
      <c r="F563" t="s">
        <v>32</v>
      </c>
      <c r="G563">
        <v>2</v>
      </c>
      <c r="H563">
        <v>7990.18</v>
      </c>
      <c r="I563" s="3">
        <v>0.1</v>
      </c>
      <c r="J563" t="s">
        <v>16</v>
      </c>
      <c r="K563" t="s">
        <v>49</v>
      </c>
      <c r="L563" t="s">
        <v>33</v>
      </c>
      <c r="M563">
        <v>14382.32</v>
      </c>
      <c r="N563" t="str">
        <f t="shared" si="17"/>
        <v>Medium</v>
      </c>
    </row>
    <row r="564" spans="1:14" x14ac:dyDescent="0.3">
      <c r="A564" t="s">
        <v>622</v>
      </c>
      <c r="B564" s="1">
        <v>45586</v>
      </c>
      <c r="C564" s="1" t="str">
        <f t="shared" si="16"/>
        <v>October</v>
      </c>
      <c r="D564" t="s">
        <v>35</v>
      </c>
      <c r="E564" t="s">
        <v>36</v>
      </c>
      <c r="F564" t="s">
        <v>15</v>
      </c>
      <c r="G564">
        <v>3</v>
      </c>
      <c r="H564">
        <v>7296.63</v>
      </c>
      <c r="I564" s="3">
        <v>0</v>
      </c>
      <c r="J564" t="s">
        <v>16</v>
      </c>
      <c r="K564" t="s">
        <v>49</v>
      </c>
      <c r="L564" t="s">
        <v>18</v>
      </c>
      <c r="M564">
        <v>21889.89</v>
      </c>
      <c r="N564" t="str">
        <f t="shared" si="17"/>
        <v>High</v>
      </c>
    </row>
    <row r="565" spans="1:14" x14ac:dyDescent="0.3">
      <c r="A565" t="s">
        <v>623</v>
      </c>
      <c r="B565" s="1">
        <v>45340</v>
      </c>
      <c r="C565" s="1" t="str">
        <f t="shared" si="16"/>
        <v>February</v>
      </c>
      <c r="D565" t="s">
        <v>20</v>
      </c>
      <c r="E565" t="s">
        <v>57</v>
      </c>
      <c r="F565" t="s">
        <v>44</v>
      </c>
      <c r="G565">
        <v>5</v>
      </c>
      <c r="H565">
        <v>7372.85</v>
      </c>
      <c r="I565" s="3">
        <v>0</v>
      </c>
      <c r="J565" t="s">
        <v>28</v>
      </c>
      <c r="K565" t="s">
        <v>17</v>
      </c>
      <c r="L565" t="s">
        <v>33</v>
      </c>
      <c r="M565">
        <v>36864.25</v>
      </c>
      <c r="N565" t="str">
        <f t="shared" si="17"/>
        <v>High</v>
      </c>
    </row>
    <row r="566" spans="1:14" x14ac:dyDescent="0.3">
      <c r="A566" t="s">
        <v>624</v>
      </c>
      <c r="B566" s="1">
        <v>45557</v>
      </c>
      <c r="C566" s="1" t="str">
        <f t="shared" si="16"/>
        <v>September</v>
      </c>
      <c r="D566" t="s">
        <v>20</v>
      </c>
      <c r="E566" t="s">
        <v>61</v>
      </c>
      <c r="F566" t="s">
        <v>27</v>
      </c>
      <c r="G566">
        <v>3</v>
      </c>
      <c r="H566">
        <v>7853.58</v>
      </c>
      <c r="I566" s="3">
        <v>0.25</v>
      </c>
      <c r="J566" t="s">
        <v>22</v>
      </c>
      <c r="K566" t="s">
        <v>23</v>
      </c>
      <c r="L566" t="s">
        <v>18</v>
      </c>
      <c r="M566">
        <v>17670.560000000001</v>
      </c>
      <c r="N566" t="str">
        <f t="shared" si="17"/>
        <v>Medium</v>
      </c>
    </row>
    <row r="567" spans="1:14" x14ac:dyDescent="0.3">
      <c r="A567" t="s">
        <v>625</v>
      </c>
      <c r="B567" s="1">
        <v>45366</v>
      </c>
      <c r="C567" s="1" t="str">
        <f t="shared" si="16"/>
        <v>March</v>
      </c>
      <c r="D567" t="s">
        <v>35</v>
      </c>
      <c r="E567" t="s">
        <v>36</v>
      </c>
      <c r="F567" t="s">
        <v>32</v>
      </c>
      <c r="G567">
        <v>4</v>
      </c>
      <c r="H567">
        <v>2847.24</v>
      </c>
      <c r="I567" s="3">
        <v>0.2</v>
      </c>
      <c r="J567" t="s">
        <v>55</v>
      </c>
      <c r="K567" t="s">
        <v>49</v>
      </c>
      <c r="L567" t="s">
        <v>33</v>
      </c>
      <c r="M567">
        <v>9111.17</v>
      </c>
      <c r="N567" t="str">
        <f t="shared" si="17"/>
        <v>Low</v>
      </c>
    </row>
    <row r="568" spans="1:14" x14ac:dyDescent="0.3">
      <c r="A568" t="s">
        <v>626</v>
      </c>
      <c r="B568" s="1">
        <v>45595</v>
      </c>
      <c r="C568" s="1" t="str">
        <f t="shared" si="16"/>
        <v>October</v>
      </c>
      <c r="D568" t="s">
        <v>20</v>
      </c>
      <c r="E568" t="s">
        <v>59</v>
      </c>
      <c r="F568" t="s">
        <v>44</v>
      </c>
      <c r="G568">
        <v>6</v>
      </c>
      <c r="H568">
        <v>7070.54</v>
      </c>
      <c r="I568" s="3">
        <v>0.05</v>
      </c>
      <c r="J568" t="s">
        <v>22</v>
      </c>
      <c r="K568" t="s">
        <v>40</v>
      </c>
      <c r="L568" t="s">
        <v>18</v>
      </c>
      <c r="M568">
        <v>40302.080000000002</v>
      </c>
      <c r="N568" t="str">
        <f t="shared" si="17"/>
        <v>High</v>
      </c>
    </row>
    <row r="569" spans="1:14" x14ac:dyDescent="0.3">
      <c r="A569" t="s">
        <v>627</v>
      </c>
      <c r="B569" s="1">
        <v>45415</v>
      </c>
      <c r="C569" s="1" t="str">
        <f t="shared" si="16"/>
        <v>May</v>
      </c>
      <c r="D569" t="s">
        <v>38</v>
      </c>
      <c r="E569" t="s">
        <v>100</v>
      </c>
      <c r="F569" t="s">
        <v>1160</v>
      </c>
      <c r="G569">
        <v>5</v>
      </c>
      <c r="H569">
        <v>981.07</v>
      </c>
      <c r="I569" s="3">
        <v>0.25</v>
      </c>
      <c r="J569" t="s">
        <v>16</v>
      </c>
      <c r="K569" t="s">
        <v>40</v>
      </c>
      <c r="L569" t="s">
        <v>33</v>
      </c>
      <c r="M569">
        <v>3679.01</v>
      </c>
      <c r="N569" t="str">
        <f t="shared" si="17"/>
        <v>Low</v>
      </c>
    </row>
    <row r="570" spans="1:14" x14ac:dyDescent="0.3">
      <c r="A570" t="s">
        <v>628</v>
      </c>
      <c r="B570" s="1">
        <v>45514</v>
      </c>
      <c r="C570" s="1" t="str">
        <f t="shared" si="16"/>
        <v>August</v>
      </c>
      <c r="D570" t="s">
        <v>25</v>
      </c>
      <c r="E570" t="s">
        <v>31</v>
      </c>
      <c r="F570" t="s">
        <v>80</v>
      </c>
      <c r="G570">
        <v>3</v>
      </c>
      <c r="H570">
        <v>7959.99</v>
      </c>
      <c r="I570" s="3">
        <v>0.05</v>
      </c>
      <c r="J570" t="s">
        <v>55</v>
      </c>
      <c r="K570" t="s">
        <v>49</v>
      </c>
      <c r="L570" t="s">
        <v>18</v>
      </c>
      <c r="M570">
        <v>22685.97</v>
      </c>
      <c r="N570" t="str">
        <f t="shared" si="17"/>
        <v>High</v>
      </c>
    </row>
    <row r="571" spans="1:14" x14ac:dyDescent="0.3">
      <c r="A571" t="s">
        <v>629</v>
      </c>
      <c r="B571" s="1">
        <v>45345</v>
      </c>
      <c r="C571" s="1" t="str">
        <f t="shared" si="16"/>
        <v>February</v>
      </c>
      <c r="D571" t="s">
        <v>35</v>
      </c>
      <c r="E571" t="s">
        <v>65</v>
      </c>
      <c r="F571" t="s">
        <v>44</v>
      </c>
      <c r="G571">
        <v>1</v>
      </c>
      <c r="H571">
        <v>6007.98</v>
      </c>
      <c r="I571" s="3">
        <v>0.15</v>
      </c>
      <c r="J571" t="s">
        <v>16</v>
      </c>
      <c r="K571" t="s">
        <v>17</v>
      </c>
      <c r="L571" t="s">
        <v>33</v>
      </c>
      <c r="M571">
        <v>5106.78</v>
      </c>
      <c r="N571" t="str">
        <f t="shared" si="17"/>
        <v>Low</v>
      </c>
    </row>
    <row r="572" spans="1:14" x14ac:dyDescent="0.3">
      <c r="A572" t="s">
        <v>630</v>
      </c>
      <c r="B572" s="1">
        <v>45387</v>
      </c>
      <c r="C572" s="1" t="str">
        <f t="shared" si="16"/>
        <v>April</v>
      </c>
      <c r="D572" t="s">
        <v>25</v>
      </c>
      <c r="E572" t="s">
        <v>87</v>
      </c>
      <c r="F572" t="s">
        <v>44</v>
      </c>
      <c r="G572">
        <v>4</v>
      </c>
      <c r="H572">
        <v>2409.41</v>
      </c>
      <c r="I572" s="3">
        <v>0</v>
      </c>
      <c r="J572" t="s">
        <v>28</v>
      </c>
      <c r="K572" t="s">
        <v>23</v>
      </c>
      <c r="L572" t="s">
        <v>33</v>
      </c>
      <c r="M572">
        <v>9637.64</v>
      </c>
      <c r="N572" t="str">
        <f t="shared" si="17"/>
        <v>Low</v>
      </c>
    </row>
    <row r="573" spans="1:14" x14ac:dyDescent="0.3">
      <c r="A573" t="s">
        <v>631</v>
      </c>
      <c r="B573" s="1">
        <v>45515</v>
      </c>
      <c r="C573" s="1" t="str">
        <f t="shared" si="16"/>
        <v>August</v>
      </c>
      <c r="D573" t="s">
        <v>38</v>
      </c>
      <c r="E573" t="s">
        <v>39</v>
      </c>
      <c r="F573" t="s">
        <v>44</v>
      </c>
      <c r="G573">
        <v>5</v>
      </c>
      <c r="H573">
        <v>5269.68</v>
      </c>
      <c r="I573" s="3">
        <v>0.05</v>
      </c>
      <c r="J573" t="s">
        <v>16</v>
      </c>
      <c r="K573" t="s">
        <v>40</v>
      </c>
      <c r="L573" t="s">
        <v>33</v>
      </c>
      <c r="M573">
        <v>25030.98</v>
      </c>
      <c r="N573" t="str">
        <f t="shared" si="17"/>
        <v>High</v>
      </c>
    </row>
    <row r="574" spans="1:14" x14ac:dyDescent="0.3">
      <c r="A574" t="s">
        <v>632</v>
      </c>
      <c r="B574" s="1">
        <v>45292</v>
      </c>
      <c r="C574" s="1" t="str">
        <f t="shared" si="16"/>
        <v>January</v>
      </c>
      <c r="D574" t="s">
        <v>20</v>
      </c>
      <c r="E574" t="s">
        <v>78</v>
      </c>
      <c r="F574" t="s">
        <v>44</v>
      </c>
      <c r="G574">
        <v>4</v>
      </c>
      <c r="H574">
        <v>709.91</v>
      </c>
      <c r="I574" s="3">
        <v>0</v>
      </c>
      <c r="J574" t="s">
        <v>28</v>
      </c>
      <c r="K574" t="s">
        <v>23</v>
      </c>
      <c r="L574" t="s">
        <v>33</v>
      </c>
      <c r="M574">
        <v>2839.64</v>
      </c>
      <c r="N574" t="str">
        <f t="shared" si="17"/>
        <v>Low</v>
      </c>
    </row>
    <row r="575" spans="1:14" x14ac:dyDescent="0.3">
      <c r="A575" t="s">
        <v>633</v>
      </c>
      <c r="B575" s="1">
        <v>45475</v>
      </c>
      <c r="C575" s="1" t="str">
        <f t="shared" si="16"/>
        <v>July</v>
      </c>
      <c r="D575" t="s">
        <v>38</v>
      </c>
      <c r="E575" t="s">
        <v>100</v>
      </c>
      <c r="F575" t="s">
        <v>1160</v>
      </c>
      <c r="G575">
        <v>6</v>
      </c>
      <c r="H575">
        <v>5016.6899999999996</v>
      </c>
      <c r="I575" s="3">
        <v>0.1</v>
      </c>
      <c r="J575" t="s">
        <v>16</v>
      </c>
      <c r="K575" t="s">
        <v>49</v>
      </c>
      <c r="L575" t="s">
        <v>18</v>
      </c>
      <c r="M575">
        <v>27090.13</v>
      </c>
      <c r="N575" t="str">
        <f t="shared" si="17"/>
        <v>High</v>
      </c>
    </row>
    <row r="576" spans="1:14" x14ac:dyDescent="0.3">
      <c r="A576" t="s">
        <v>634</v>
      </c>
      <c r="B576" s="1">
        <v>45604</v>
      </c>
      <c r="C576" s="1" t="str">
        <f t="shared" si="16"/>
        <v>November</v>
      </c>
      <c r="D576" t="s">
        <v>35</v>
      </c>
      <c r="E576" t="s">
        <v>97</v>
      </c>
      <c r="F576" t="s">
        <v>32</v>
      </c>
      <c r="G576">
        <v>6</v>
      </c>
      <c r="H576">
        <v>6499.15</v>
      </c>
      <c r="I576" s="3">
        <v>0</v>
      </c>
      <c r="J576" t="s">
        <v>16</v>
      </c>
      <c r="K576" t="s">
        <v>17</v>
      </c>
      <c r="L576" t="s">
        <v>33</v>
      </c>
      <c r="M576">
        <v>38994.9</v>
      </c>
      <c r="N576" t="str">
        <f t="shared" si="17"/>
        <v>High</v>
      </c>
    </row>
    <row r="577" spans="1:14" x14ac:dyDescent="0.3">
      <c r="A577" t="s">
        <v>635</v>
      </c>
      <c r="B577" s="1">
        <v>45364</v>
      </c>
      <c r="C577" s="1" t="str">
        <f t="shared" si="16"/>
        <v>March</v>
      </c>
      <c r="D577" t="s">
        <v>35</v>
      </c>
      <c r="E577" t="s">
        <v>36</v>
      </c>
      <c r="F577" t="s">
        <v>44</v>
      </c>
      <c r="G577">
        <v>5</v>
      </c>
      <c r="H577">
        <v>426.78</v>
      </c>
      <c r="I577" s="3">
        <v>0.25</v>
      </c>
      <c r="J577" t="s">
        <v>16</v>
      </c>
      <c r="K577" t="s">
        <v>29</v>
      </c>
      <c r="L577" t="s">
        <v>33</v>
      </c>
      <c r="M577">
        <v>1600.42</v>
      </c>
      <c r="N577" t="str">
        <f t="shared" si="17"/>
        <v>Low</v>
      </c>
    </row>
    <row r="578" spans="1:14" x14ac:dyDescent="0.3">
      <c r="A578" t="s">
        <v>636</v>
      </c>
      <c r="B578" s="1">
        <v>45329</v>
      </c>
      <c r="C578" s="1" t="str">
        <f t="shared" ref="C578:C641" si="18">TEXT(B578,"mmmm")</f>
        <v>February</v>
      </c>
      <c r="D578" t="s">
        <v>13</v>
      </c>
      <c r="E578" t="s">
        <v>76</v>
      </c>
      <c r="F578" t="s">
        <v>53</v>
      </c>
      <c r="G578">
        <v>4</v>
      </c>
      <c r="H578">
        <v>6545.75</v>
      </c>
      <c r="I578" s="3">
        <v>0</v>
      </c>
      <c r="J578" t="s">
        <v>28</v>
      </c>
      <c r="K578" t="s">
        <v>40</v>
      </c>
      <c r="L578" t="s">
        <v>18</v>
      </c>
      <c r="M578">
        <v>26183</v>
      </c>
      <c r="N578" t="str">
        <f t="shared" ref="N578:N641" si="19">IF(M578&gt;20000,"High",IF(M578&gt;10000,"Medium","Low"))</f>
        <v>High</v>
      </c>
    </row>
    <row r="579" spans="1:14" x14ac:dyDescent="0.3">
      <c r="A579" t="s">
        <v>637</v>
      </c>
      <c r="B579" s="1">
        <v>45339</v>
      </c>
      <c r="C579" s="1" t="str">
        <f t="shared" si="18"/>
        <v>February</v>
      </c>
      <c r="D579" t="s">
        <v>13</v>
      </c>
      <c r="E579" t="s">
        <v>76</v>
      </c>
      <c r="F579" t="s">
        <v>15</v>
      </c>
      <c r="G579">
        <v>5</v>
      </c>
      <c r="H579">
        <v>6659.3</v>
      </c>
      <c r="I579" s="3">
        <v>0.1</v>
      </c>
      <c r="J579" t="s">
        <v>55</v>
      </c>
      <c r="K579" t="s">
        <v>49</v>
      </c>
      <c r="L579" t="s">
        <v>33</v>
      </c>
      <c r="M579">
        <f>Orders[[#This Row],[Quantity]]*Orders[[#This Row],[UnitPrice]]-Orders[[#This Row],[Discount%]]</f>
        <v>33296.400000000001</v>
      </c>
      <c r="N579" t="str">
        <f t="shared" si="19"/>
        <v>High</v>
      </c>
    </row>
    <row r="580" spans="1:14" x14ac:dyDescent="0.3">
      <c r="A580" t="s">
        <v>638</v>
      </c>
      <c r="B580" s="1">
        <v>45563</v>
      </c>
      <c r="C580" s="1" t="str">
        <f t="shared" si="18"/>
        <v>September</v>
      </c>
      <c r="D580" t="s">
        <v>25</v>
      </c>
      <c r="E580" t="s">
        <v>94</v>
      </c>
      <c r="F580" t="s">
        <v>47</v>
      </c>
      <c r="G580">
        <v>6</v>
      </c>
      <c r="H580">
        <v>7427.63</v>
      </c>
      <c r="I580" s="3">
        <v>0</v>
      </c>
      <c r="J580" t="s">
        <v>16</v>
      </c>
      <c r="K580" t="s">
        <v>17</v>
      </c>
      <c r="L580" t="s">
        <v>18</v>
      </c>
      <c r="M580">
        <v>44565.78</v>
      </c>
      <c r="N580" t="str">
        <f t="shared" si="19"/>
        <v>High</v>
      </c>
    </row>
    <row r="581" spans="1:14" x14ac:dyDescent="0.3">
      <c r="A581" t="s">
        <v>639</v>
      </c>
      <c r="B581" s="1">
        <v>45548</v>
      </c>
      <c r="C581" s="1" t="str">
        <f t="shared" si="18"/>
        <v>September</v>
      </c>
      <c r="D581" t="s">
        <v>13</v>
      </c>
      <c r="E581" t="s">
        <v>74</v>
      </c>
      <c r="F581" t="s">
        <v>47</v>
      </c>
      <c r="G581">
        <v>4</v>
      </c>
      <c r="H581">
        <v>1713.64</v>
      </c>
      <c r="I581" s="3">
        <v>0.1</v>
      </c>
      <c r="J581" t="s">
        <v>28</v>
      </c>
      <c r="K581" t="s">
        <v>17</v>
      </c>
      <c r="L581" t="s">
        <v>33</v>
      </c>
      <c r="M581">
        <v>6169.1</v>
      </c>
      <c r="N581" t="str">
        <f t="shared" si="19"/>
        <v>Low</v>
      </c>
    </row>
    <row r="582" spans="1:14" x14ac:dyDescent="0.3">
      <c r="A582" t="s">
        <v>640</v>
      </c>
      <c r="B582" s="1">
        <v>45490</v>
      </c>
      <c r="C582" s="1" t="str">
        <f t="shared" si="18"/>
        <v>July</v>
      </c>
      <c r="D582" t="s">
        <v>13</v>
      </c>
      <c r="E582" t="s">
        <v>76</v>
      </c>
      <c r="F582" t="s">
        <v>80</v>
      </c>
      <c r="G582">
        <v>5</v>
      </c>
      <c r="H582">
        <v>1952.64</v>
      </c>
      <c r="I582" s="3">
        <v>0.2</v>
      </c>
      <c r="J582" t="s">
        <v>16</v>
      </c>
      <c r="K582" t="s">
        <v>40</v>
      </c>
      <c r="L582" t="s">
        <v>18</v>
      </c>
      <c r="M582">
        <v>7810.56</v>
      </c>
      <c r="N582" t="str">
        <f t="shared" si="19"/>
        <v>Low</v>
      </c>
    </row>
    <row r="583" spans="1:14" x14ac:dyDescent="0.3">
      <c r="A583" t="s">
        <v>641</v>
      </c>
      <c r="B583" s="1">
        <v>45609</v>
      </c>
      <c r="C583" s="1" t="str">
        <f t="shared" si="18"/>
        <v>November</v>
      </c>
      <c r="D583" t="s">
        <v>20</v>
      </c>
      <c r="E583" t="s">
        <v>21</v>
      </c>
      <c r="F583" t="s">
        <v>47</v>
      </c>
      <c r="G583">
        <v>5</v>
      </c>
      <c r="H583">
        <v>1935.34</v>
      </c>
      <c r="I583" s="3">
        <v>0.2</v>
      </c>
      <c r="J583" t="s">
        <v>55</v>
      </c>
      <c r="K583" t="s">
        <v>17</v>
      </c>
      <c r="L583" t="s">
        <v>33</v>
      </c>
      <c r="M583">
        <v>7741.36</v>
      </c>
      <c r="N583" t="str">
        <f t="shared" si="19"/>
        <v>Low</v>
      </c>
    </row>
    <row r="584" spans="1:14" x14ac:dyDescent="0.3">
      <c r="A584" t="s">
        <v>642</v>
      </c>
      <c r="B584" s="1">
        <v>45322</v>
      </c>
      <c r="C584" s="1" t="str">
        <f t="shared" si="18"/>
        <v>January</v>
      </c>
      <c r="D584" t="s">
        <v>38</v>
      </c>
      <c r="E584" t="s">
        <v>100</v>
      </c>
      <c r="F584" t="s">
        <v>44</v>
      </c>
      <c r="G584">
        <v>3</v>
      </c>
      <c r="H584">
        <v>1860.9</v>
      </c>
      <c r="I584" s="3">
        <v>0.1</v>
      </c>
      <c r="J584" t="s">
        <v>55</v>
      </c>
      <c r="K584" t="s">
        <v>49</v>
      </c>
      <c r="L584" t="s">
        <v>33</v>
      </c>
      <c r="M584">
        <v>5024.43</v>
      </c>
      <c r="N584" t="str">
        <f t="shared" si="19"/>
        <v>Low</v>
      </c>
    </row>
    <row r="585" spans="1:14" x14ac:dyDescent="0.3">
      <c r="A585" t="s">
        <v>643</v>
      </c>
      <c r="B585" s="1">
        <v>45329</v>
      </c>
      <c r="C585" s="1" t="str">
        <f t="shared" si="18"/>
        <v>February</v>
      </c>
      <c r="D585" t="s">
        <v>35</v>
      </c>
      <c r="E585" t="s">
        <v>36</v>
      </c>
      <c r="F585" t="s">
        <v>47</v>
      </c>
      <c r="G585">
        <v>1</v>
      </c>
      <c r="H585">
        <v>7941.69</v>
      </c>
      <c r="I585" s="3">
        <v>0.05</v>
      </c>
      <c r="J585" t="s">
        <v>16</v>
      </c>
      <c r="K585" t="s">
        <v>23</v>
      </c>
      <c r="L585" t="s">
        <v>33</v>
      </c>
      <c r="M585">
        <v>7544.61</v>
      </c>
      <c r="N585" t="str">
        <f t="shared" si="19"/>
        <v>Low</v>
      </c>
    </row>
    <row r="586" spans="1:14" x14ac:dyDescent="0.3">
      <c r="A586" t="s">
        <v>644</v>
      </c>
      <c r="B586" s="1">
        <v>45458</v>
      </c>
      <c r="C586" s="1" t="str">
        <f t="shared" si="18"/>
        <v>June</v>
      </c>
      <c r="D586" t="s">
        <v>35</v>
      </c>
      <c r="E586" t="s">
        <v>97</v>
      </c>
      <c r="F586" t="s">
        <v>1160</v>
      </c>
      <c r="G586">
        <v>2</v>
      </c>
      <c r="H586">
        <v>3403.76</v>
      </c>
      <c r="I586" s="3">
        <v>0.15</v>
      </c>
      <c r="J586" t="s">
        <v>16</v>
      </c>
      <c r="K586" t="s">
        <v>17</v>
      </c>
      <c r="L586" t="s">
        <v>18</v>
      </c>
      <c r="M586">
        <v>5786.39</v>
      </c>
      <c r="N586" t="str">
        <f t="shared" si="19"/>
        <v>Low</v>
      </c>
    </row>
    <row r="587" spans="1:14" x14ac:dyDescent="0.3">
      <c r="A587" t="s">
        <v>645</v>
      </c>
      <c r="B587" s="1">
        <v>45526</v>
      </c>
      <c r="C587" s="1" t="str">
        <f t="shared" si="18"/>
        <v>August</v>
      </c>
      <c r="D587" t="s">
        <v>20</v>
      </c>
      <c r="E587" t="s">
        <v>21</v>
      </c>
      <c r="F587" t="s">
        <v>44</v>
      </c>
      <c r="G587">
        <v>6</v>
      </c>
      <c r="H587">
        <v>1761.82</v>
      </c>
      <c r="I587" s="3">
        <v>0.25</v>
      </c>
      <c r="J587" t="s">
        <v>16</v>
      </c>
      <c r="K587" t="s">
        <v>29</v>
      </c>
      <c r="L587" t="s">
        <v>33</v>
      </c>
      <c r="M587">
        <v>7928.19</v>
      </c>
      <c r="N587" t="str">
        <f t="shared" si="19"/>
        <v>Low</v>
      </c>
    </row>
    <row r="588" spans="1:14" x14ac:dyDescent="0.3">
      <c r="A588" t="s">
        <v>646</v>
      </c>
      <c r="B588" s="1">
        <v>45613</v>
      </c>
      <c r="C588" s="1" t="str">
        <f t="shared" si="18"/>
        <v>November</v>
      </c>
      <c r="D588" t="s">
        <v>25</v>
      </c>
      <c r="E588" t="s">
        <v>94</v>
      </c>
      <c r="F588" t="s">
        <v>1160</v>
      </c>
      <c r="G588">
        <v>5</v>
      </c>
      <c r="H588">
        <v>5019.0600000000004</v>
      </c>
      <c r="I588" s="3">
        <v>0.2</v>
      </c>
      <c r="J588" t="s">
        <v>28</v>
      </c>
      <c r="K588" t="s">
        <v>29</v>
      </c>
      <c r="L588" t="s">
        <v>18</v>
      </c>
      <c r="M588">
        <v>20076.240000000002</v>
      </c>
      <c r="N588" t="str">
        <f t="shared" si="19"/>
        <v>High</v>
      </c>
    </row>
    <row r="589" spans="1:14" x14ac:dyDescent="0.3">
      <c r="A589" t="s">
        <v>647</v>
      </c>
      <c r="B589" s="1">
        <v>45469</v>
      </c>
      <c r="C589" s="1" t="str">
        <f t="shared" si="18"/>
        <v>June</v>
      </c>
      <c r="D589" t="s">
        <v>35</v>
      </c>
      <c r="E589" t="s">
        <v>63</v>
      </c>
      <c r="F589" t="s">
        <v>44</v>
      </c>
      <c r="G589">
        <v>1</v>
      </c>
      <c r="H589">
        <v>1722.4</v>
      </c>
      <c r="I589" s="3">
        <v>0.2</v>
      </c>
      <c r="J589" t="s">
        <v>16</v>
      </c>
      <c r="K589" t="s">
        <v>23</v>
      </c>
      <c r="L589" t="s">
        <v>33</v>
      </c>
      <c r="M589">
        <v>1377.92</v>
      </c>
      <c r="N589" t="str">
        <f t="shared" si="19"/>
        <v>Low</v>
      </c>
    </row>
    <row r="590" spans="1:14" x14ac:dyDescent="0.3">
      <c r="A590" t="s">
        <v>648</v>
      </c>
      <c r="B590" s="1">
        <v>45509</v>
      </c>
      <c r="C590" s="1" t="str">
        <f t="shared" si="18"/>
        <v>August</v>
      </c>
      <c r="D590" t="s">
        <v>38</v>
      </c>
      <c r="E590" t="s">
        <v>39</v>
      </c>
      <c r="F590" t="s">
        <v>53</v>
      </c>
      <c r="G590">
        <v>5</v>
      </c>
      <c r="H590">
        <v>1596.83</v>
      </c>
      <c r="I590" s="3">
        <v>0.05</v>
      </c>
      <c r="J590" t="s">
        <v>16</v>
      </c>
      <c r="K590" t="s">
        <v>23</v>
      </c>
      <c r="L590" t="s">
        <v>33</v>
      </c>
      <c r="M590">
        <v>7584.94</v>
      </c>
      <c r="N590" t="str">
        <f t="shared" si="19"/>
        <v>Low</v>
      </c>
    </row>
    <row r="591" spans="1:14" x14ac:dyDescent="0.3">
      <c r="A591" t="s">
        <v>649</v>
      </c>
      <c r="B591" s="1">
        <v>45415</v>
      </c>
      <c r="C591" s="1" t="str">
        <f t="shared" si="18"/>
        <v>May</v>
      </c>
      <c r="D591" t="s">
        <v>25</v>
      </c>
      <c r="E591" t="s">
        <v>26</v>
      </c>
      <c r="F591" t="s">
        <v>1160</v>
      </c>
      <c r="G591">
        <v>2</v>
      </c>
      <c r="H591">
        <v>1303.6099999999999</v>
      </c>
      <c r="I591" s="3">
        <v>0</v>
      </c>
      <c r="J591" t="s">
        <v>55</v>
      </c>
      <c r="K591" t="s">
        <v>23</v>
      </c>
      <c r="L591" t="s">
        <v>18</v>
      </c>
      <c r="M591">
        <v>2607.2199999999998</v>
      </c>
      <c r="N591" t="str">
        <f t="shared" si="19"/>
        <v>Low</v>
      </c>
    </row>
    <row r="592" spans="1:14" x14ac:dyDescent="0.3">
      <c r="A592" t="s">
        <v>650</v>
      </c>
      <c r="B592" s="1">
        <v>45305</v>
      </c>
      <c r="C592" s="1" t="str">
        <f t="shared" si="18"/>
        <v>January</v>
      </c>
      <c r="D592" t="s">
        <v>25</v>
      </c>
      <c r="E592" t="s">
        <v>94</v>
      </c>
      <c r="F592" t="s">
        <v>32</v>
      </c>
      <c r="G592">
        <v>6</v>
      </c>
      <c r="H592">
        <v>887.53</v>
      </c>
      <c r="I592" s="3">
        <v>0</v>
      </c>
      <c r="J592" t="s">
        <v>16</v>
      </c>
      <c r="K592" t="s">
        <v>29</v>
      </c>
      <c r="L592" t="s">
        <v>33</v>
      </c>
      <c r="M592">
        <v>5325.18</v>
      </c>
      <c r="N592" t="str">
        <f t="shared" si="19"/>
        <v>Low</v>
      </c>
    </row>
    <row r="593" spans="1:14" x14ac:dyDescent="0.3">
      <c r="A593" t="s">
        <v>651</v>
      </c>
      <c r="B593" s="1">
        <v>45578</v>
      </c>
      <c r="C593" s="1" t="str">
        <f t="shared" si="18"/>
        <v>October</v>
      </c>
      <c r="D593" t="s">
        <v>38</v>
      </c>
      <c r="E593" t="s">
        <v>51</v>
      </c>
      <c r="F593" t="s">
        <v>15</v>
      </c>
      <c r="G593">
        <v>5</v>
      </c>
      <c r="H593">
        <v>7980.13</v>
      </c>
      <c r="I593" s="3">
        <v>0.05</v>
      </c>
      <c r="J593" t="s">
        <v>22</v>
      </c>
      <c r="K593" t="s">
        <v>29</v>
      </c>
      <c r="L593" t="s">
        <v>33</v>
      </c>
      <c r="M593">
        <v>37905.620000000003</v>
      </c>
      <c r="N593" t="str">
        <f t="shared" si="19"/>
        <v>High</v>
      </c>
    </row>
    <row r="594" spans="1:14" x14ac:dyDescent="0.3">
      <c r="A594" t="s">
        <v>652</v>
      </c>
      <c r="B594" s="1">
        <v>45517</v>
      </c>
      <c r="C594" s="1" t="str">
        <f t="shared" si="18"/>
        <v>August</v>
      </c>
      <c r="D594" t="s">
        <v>20</v>
      </c>
      <c r="E594" t="s">
        <v>61</v>
      </c>
      <c r="F594" t="s">
        <v>15</v>
      </c>
      <c r="G594">
        <v>2</v>
      </c>
      <c r="H594">
        <v>3530.93</v>
      </c>
      <c r="I594" s="3">
        <v>0.25</v>
      </c>
      <c r="J594" t="s">
        <v>16</v>
      </c>
      <c r="K594" t="s">
        <v>29</v>
      </c>
      <c r="L594" t="s">
        <v>33</v>
      </c>
      <c r="M594">
        <v>5296.39</v>
      </c>
      <c r="N594" t="str">
        <f t="shared" si="19"/>
        <v>Low</v>
      </c>
    </row>
    <row r="595" spans="1:14" x14ac:dyDescent="0.3">
      <c r="A595" t="s">
        <v>653</v>
      </c>
      <c r="B595" s="1">
        <v>45648</v>
      </c>
      <c r="C595" s="1" t="str">
        <f t="shared" si="18"/>
        <v>December</v>
      </c>
      <c r="D595" t="s">
        <v>38</v>
      </c>
      <c r="E595" t="s">
        <v>100</v>
      </c>
      <c r="F595" t="s">
        <v>44</v>
      </c>
      <c r="G595">
        <v>1</v>
      </c>
      <c r="H595">
        <v>3659.39</v>
      </c>
      <c r="I595" s="3">
        <v>0.15</v>
      </c>
      <c r="J595" t="s">
        <v>28</v>
      </c>
      <c r="K595" t="s">
        <v>40</v>
      </c>
      <c r="L595" t="s">
        <v>33</v>
      </c>
      <c r="M595">
        <v>3110.48</v>
      </c>
      <c r="N595" t="str">
        <f t="shared" si="19"/>
        <v>Low</v>
      </c>
    </row>
    <row r="596" spans="1:14" x14ac:dyDescent="0.3">
      <c r="A596" t="s">
        <v>654</v>
      </c>
      <c r="B596" s="1">
        <v>45379</v>
      </c>
      <c r="C596" s="1" t="str">
        <f t="shared" si="18"/>
        <v>March</v>
      </c>
      <c r="D596" t="s">
        <v>38</v>
      </c>
      <c r="E596" t="s">
        <v>42</v>
      </c>
      <c r="F596" t="s">
        <v>53</v>
      </c>
      <c r="G596">
        <v>4</v>
      </c>
      <c r="H596">
        <v>3635.2</v>
      </c>
      <c r="I596" s="3">
        <v>0.15</v>
      </c>
      <c r="J596" t="s">
        <v>55</v>
      </c>
      <c r="K596" t="s">
        <v>40</v>
      </c>
      <c r="L596" t="s">
        <v>18</v>
      </c>
      <c r="M596">
        <v>12359.68</v>
      </c>
      <c r="N596" t="str">
        <f t="shared" si="19"/>
        <v>Medium</v>
      </c>
    </row>
    <row r="597" spans="1:14" x14ac:dyDescent="0.3">
      <c r="A597" t="s">
        <v>655</v>
      </c>
      <c r="B597" s="1">
        <v>45472</v>
      </c>
      <c r="C597" s="1" t="str">
        <f t="shared" si="18"/>
        <v>June</v>
      </c>
      <c r="D597" t="s">
        <v>13</v>
      </c>
      <c r="E597" t="s">
        <v>108</v>
      </c>
      <c r="F597" t="s">
        <v>47</v>
      </c>
      <c r="G597">
        <v>3</v>
      </c>
      <c r="H597">
        <v>2667.75</v>
      </c>
      <c r="I597" s="3">
        <v>0.2</v>
      </c>
      <c r="J597" t="s">
        <v>55</v>
      </c>
      <c r="K597" t="s">
        <v>29</v>
      </c>
      <c r="L597" t="s">
        <v>33</v>
      </c>
      <c r="M597">
        <v>6402.6</v>
      </c>
      <c r="N597" t="str">
        <f t="shared" si="19"/>
        <v>Low</v>
      </c>
    </row>
    <row r="598" spans="1:14" x14ac:dyDescent="0.3">
      <c r="A598" t="s">
        <v>656</v>
      </c>
      <c r="B598" s="1">
        <v>45358</v>
      </c>
      <c r="C598" s="1" t="str">
        <f t="shared" si="18"/>
        <v>March</v>
      </c>
      <c r="D598" t="s">
        <v>38</v>
      </c>
      <c r="E598" t="s">
        <v>100</v>
      </c>
      <c r="F598" t="s">
        <v>15</v>
      </c>
      <c r="G598">
        <v>5</v>
      </c>
      <c r="H598">
        <v>3597.88</v>
      </c>
      <c r="I598" s="3">
        <v>0</v>
      </c>
      <c r="J598" t="s">
        <v>22</v>
      </c>
      <c r="K598" t="s">
        <v>23</v>
      </c>
      <c r="L598" t="s">
        <v>18</v>
      </c>
      <c r="M598">
        <v>17989.400000000001</v>
      </c>
      <c r="N598" t="str">
        <f t="shared" si="19"/>
        <v>Medium</v>
      </c>
    </row>
    <row r="599" spans="1:14" x14ac:dyDescent="0.3">
      <c r="A599" t="s">
        <v>657</v>
      </c>
      <c r="B599" s="1">
        <v>45621</v>
      </c>
      <c r="C599" s="1" t="str">
        <f t="shared" si="18"/>
        <v>November</v>
      </c>
      <c r="D599" t="s">
        <v>13</v>
      </c>
      <c r="E599" t="s">
        <v>108</v>
      </c>
      <c r="F599" t="s">
        <v>15</v>
      </c>
      <c r="G599">
        <v>4</v>
      </c>
      <c r="H599">
        <v>2376.52</v>
      </c>
      <c r="I599" s="3">
        <v>0.15</v>
      </c>
      <c r="J599" t="s">
        <v>16</v>
      </c>
      <c r="K599" t="s">
        <v>17</v>
      </c>
      <c r="L599" t="s">
        <v>18</v>
      </c>
      <c r="M599">
        <v>8080.17</v>
      </c>
      <c r="N599" t="str">
        <f t="shared" si="19"/>
        <v>Low</v>
      </c>
    </row>
    <row r="600" spans="1:14" x14ac:dyDescent="0.3">
      <c r="A600" t="s">
        <v>658</v>
      </c>
      <c r="B600" s="1">
        <v>45504</v>
      </c>
      <c r="C600" s="1" t="str">
        <f t="shared" si="18"/>
        <v>July</v>
      </c>
      <c r="D600" t="s">
        <v>20</v>
      </c>
      <c r="E600" t="s">
        <v>78</v>
      </c>
      <c r="F600" t="s">
        <v>53</v>
      </c>
      <c r="G600">
        <v>5</v>
      </c>
      <c r="H600">
        <v>6297.02</v>
      </c>
      <c r="I600" s="3">
        <v>0.1</v>
      </c>
      <c r="J600" t="s">
        <v>16</v>
      </c>
      <c r="K600" t="s">
        <v>17</v>
      </c>
      <c r="L600" t="s">
        <v>18</v>
      </c>
      <c r="M600">
        <v>28336.59</v>
      </c>
      <c r="N600" t="str">
        <f t="shared" si="19"/>
        <v>High</v>
      </c>
    </row>
    <row r="601" spans="1:14" x14ac:dyDescent="0.3">
      <c r="A601" t="s">
        <v>659</v>
      </c>
      <c r="B601" s="1">
        <v>45369</v>
      </c>
      <c r="C601" s="1" t="str">
        <f t="shared" si="18"/>
        <v>March</v>
      </c>
      <c r="D601" t="s">
        <v>38</v>
      </c>
      <c r="E601" t="s">
        <v>100</v>
      </c>
      <c r="F601" t="s">
        <v>27</v>
      </c>
      <c r="G601">
        <v>4</v>
      </c>
      <c r="H601">
        <v>1142.1199999999999</v>
      </c>
      <c r="I601" s="3">
        <v>0.05</v>
      </c>
      <c r="J601" t="s">
        <v>22</v>
      </c>
      <c r="K601" t="s">
        <v>17</v>
      </c>
      <c r="L601" t="s">
        <v>33</v>
      </c>
      <c r="M601">
        <v>4340.0600000000004</v>
      </c>
      <c r="N601" t="str">
        <f t="shared" si="19"/>
        <v>Low</v>
      </c>
    </row>
    <row r="602" spans="1:14" x14ac:dyDescent="0.3">
      <c r="A602" t="s">
        <v>660</v>
      </c>
      <c r="B602" s="1">
        <v>45495</v>
      </c>
      <c r="C602" s="1" t="str">
        <f t="shared" si="18"/>
        <v>July</v>
      </c>
      <c r="D602" t="s">
        <v>38</v>
      </c>
      <c r="E602" t="s">
        <v>42</v>
      </c>
      <c r="F602" t="s">
        <v>53</v>
      </c>
      <c r="G602">
        <v>3</v>
      </c>
      <c r="H602">
        <v>5822.54</v>
      </c>
      <c r="I602" s="3">
        <v>0.1</v>
      </c>
      <c r="J602" t="s">
        <v>28</v>
      </c>
      <c r="K602" t="s">
        <v>40</v>
      </c>
      <c r="L602" t="s">
        <v>33</v>
      </c>
      <c r="M602">
        <v>15720.86</v>
      </c>
      <c r="N602" t="str">
        <f t="shared" si="19"/>
        <v>Medium</v>
      </c>
    </row>
    <row r="603" spans="1:14" x14ac:dyDescent="0.3">
      <c r="A603" t="s">
        <v>661</v>
      </c>
      <c r="B603" s="1">
        <v>45607</v>
      </c>
      <c r="C603" s="1" t="str">
        <f t="shared" si="18"/>
        <v>November</v>
      </c>
      <c r="D603" t="s">
        <v>20</v>
      </c>
      <c r="E603" t="s">
        <v>61</v>
      </c>
      <c r="F603" t="s">
        <v>47</v>
      </c>
      <c r="G603">
        <v>5</v>
      </c>
      <c r="H603">
        <v>7329.17</v>
      </c>
      <c r="I603" s="3">
        <v>0.25</v>
      </c>
      <c r="J603" t="s">
        <v>16</v>
      </c>
      <c r="K603" t="s">
        <v>29</v>
      </c>
      <c r="L603" t="s">
        <v>33</v>
      </c>
      <c r="M603">
        <v>27484.39</v>
      </c>
      <c r="N603" t="str">
        <f t="shared" si="19"/>
        <v>High</v>
      </c>
    </row>
    <row r="604" spans="1:14" x14ac:dyDescent="0.3">
      <c r="A604" t="s">
        <v>662</v>
      </c>
      <c r="B604" s="1">
        <v>45327</v>
      </c>
      <c r="C604" s="1" t="str">
        <f t="shared" si="18"/>
        <v>February</v>
      </c>
      <c r="D604" t="s">
        <v>35</v>
      </c>
      <c r="E604" t="s">
        <v>97</v>
      </c>
      <c r="F604" t="s">
        <v>44</v>
      </c>
      <c r="G604">
        <v>2</v>
      </c>
      <c r="H604">
        <v>3200.47</v>
      </c>
      <c r="I604" s="3">
        <v>0.25</v>
      </c>
      <c r="J604" t="s">
        <v>16</v>
      </c>
      <c r="K604" t="s">
        <v>49</v>
      </c>
      <c r="L604" t="s">
        <v>33</v>
      </c>
      <c r="M604">
        <v>4800.7</v>
      </c>
      <c r="N604" t="str">
        <f t="shared" si="19"/>
        <v>Low</v>
      </c>
    </row>
    <row r="605" spans="1:14" x14ac:dyDescent="0.3">
      <c r="A605" t="s">
        <v>663</v>
      </c>
      <c r="B605" s="1">
        <v>45452</v>
      </c>
      <c r="C605" s="1" t="str">
        <f t="shared" si="18"/>
        <v>June</v>
      </c>
      <c r="D605" t="s">
        <v>38</v>
      </c>
      <c r="E605" t="s">
        <v>164</v>
      </c>
      <c r="F605" t="s">
        <v>53</v>
      </c>
      <c r="G605">
        <v>4</v>
      </c>
      <c r="H605">
        <v>2692.21</v>
      </c>
      <c r="I605" s="3">
        <v>0.2</v>
      </c>
      <c r="J605" t="s">
        <v>16</v>
      </c>
      <c r="K605" t="s">
        <v>49</v>
      </c>
      <c r="L605" t="s">
        <v>33</v>
      </c>
      <c r="M605">
        <f>Orders[[#This Row],[Quantity]]*Orders[[#This Row],[UnitPrice]]-Orders[[#This Row],[Discount%]]</f>
        <v>10768.64</v>
      </c>
      <c r="N605" t="str">
        <f t="shared" si="19"/>
        <v>Medium</v>
      </c>
    </row>
    <row r="606" spans="1:14" x14ac:dyDescent="0.3">
      <c r="A606" t="s">
        <v>664</v>
      </c>
      <c r="B606" s="1">
        <v>45508</v>
      </c>
      <c r="C606" s="1" t="str">
        <f t="shared" si="18"/>
        <v>August</v>
      </c>
      <c r="D606" t="s">
        <v>35</v>
      </c>
      <c r="E606" t="s">
        <v>68</v>
      </c>
      <c r="F606" t="s">
        <v>53</v>
      </c>
      <c r="G606">
        <v>2</v>
      </c>
      <c r="H606">
        <v>1903.28</v>
      </c>
      <c r="I606" s="3">
        <v>0</v>
      </c>
      <c r="J606" t="s">
        <v>16</v>
      </c>
      <c r="K606" t="s">
        <v>49</v>
      </c>
      <c r="L606" t="s">
        <v>33</v>
      </c>
      <c r="M606">
        <v>3806.56</v>
      </c>
      <c r="N606" t="str">
        <f t="shared" si="19"/>
        <v>Low</v>
      </c>
    </row>
    <row r="607" spans="1:14" x14ac:dyDescent="0.3">
      <c r="A607" t="s">
        <v>665</v>
      </c>
      <c r="B607" s="1">
        <v>45568</v>
      </c>
      <c r="C607" s="1" t="str">
        <f t="shared" si="18"/>
        <v>October</v>
      </c>
      <c r="D607" t="s">
        <v>35</v>
      </c>
      <c r="E607" t="s">
        <v>68</v>
      </c>
      <c r="F607" t="s">
        <v>47</v>
      </c>
      <c r="G607">
        <v>5</v>
      </c>
      <c r="H607">
        <v>919.25</v>
      </c>
      <c r="I607" s="3">
        <v>0.25</v>
      </c>
      <c r="J607" t="s">
        <v>16</v>
      </c>
      <c r="K607" t="s">
        <v>29</v>
      </c>
      <c r="L607" t="s">
        <v>18</v>
      </c>
      <c r="M607">
        <v>3447.19</v>
      </c>
      <c r="N607" t="str">
        <f t="shared" si="19"/>
        <v>Low</v>
      </c>
    </row>
    <row r="608" spans="1:14" x14ac:dyDescent="0.3">
      <c r="A608" t="s">
        <v>666</v>
      </c>
      <c r="B608" s="1">
        <v>45462</v>
      </c>
      <c r="C608" s="1" t="str">
        <f t="shared" si="18"/>
        <v>June</v>
      </c>
      <c r="D608" t="s">
        <v>20</v>
      </c>
      <c r="E608" t="s">
        <v>59</v>
      </c>
      <c r="F608" t="s">
        <v>32</v>
      </c>
      <c r="G608">
        <v>3</v>
      </c>
      <c r="H608">
        <v>1126.47</v>
      </c>
      <c r="I608" s="3">
        <v>0.25</v>
      </c>
      <c r="J608" t="s">
        <v>16</v>
      </c>
      <c r="K608" t="s">
        <v>49</v>
      </c>
      <c r="L608" t="s">
        <v>33</v>
      </c>
      <c r="M608">
        <v>2534.56</v>
      </c>
      <c r="N608" t="str">
        <f t="shared" si="19"/>
        <v>Low</v>
      </c>
    </row>
    <row r="609" spans="1:14" x14ac:dyDescent="0.3">
      <c r="A609" t="s">
        <v>667</v>
      </c>
      <c r="B609" s="1">
        <v>45331</v>
      </c>
      <c r="C609" s="1" t="str">
        <f t="shared" si="18"/>
        <v>February</v>
      </c>
      <c r="D609" t="s">
        <v>25</v>
      </c>
      <c r="E609" t="s">
        <v>31</v>
      </c>
      <c r="F609" t="s">
        <v>32</v>
      </c>
      <c r="G609">
        <v>2</v>
      </c>
      <c r="H609">
        <v>2208.0100000000002</v>
      </c>
      <c r="I609" s="3">
        <v>0.1</v>
      </c>
      <c r="J609" t="s">
        <v>16</v>
      </c>
      <c r="K609" t="s">
        <v>49</v>
      </c>
      <c r="L609" t="s">
        <v>18</v>
      </c>
      <c r="M609">
        <v>3974.42</v>
      </c>
      <c r="N609" t="str">
        <f t="shared" si="19"/>
        <v>Low</v>
      </c>
    </row>
    <row r="610" spans="1:14" x14ac:dyDescent="0.3">
      <c r="A610" t="s">
        <v>668</v>
      </c>
      <c r="B610" s="1">
        <v>45606</v>
      </c>
      <c r="C610" s="1" t="str">
        <f t="shared" si="18"/>
        <v>November</v>
      </c>
      <c r="D610" t="s">
        <v>20</v>
      </c>
      <c r="E610" t="s">
        <v>57</v>
      </c>
      <c r="F610" t="s">
        <v>1160</v>
      </c>
      <c r="G610">
        <v>4</v>
      </c>
      <c r="H610">
        <v>6202.45</v>
      </c>
      <c r="I610" s="3">
        <v>0</v>
      </c>
      <c r="J610" t="s">
        <v>16</v>
      </c>
      <c r="K610" t="s">
        <v>29</v>
      </c>
      <c r="L610" t="s">
        <v>33</v>
      </c>
      <c r="M610">
        <v>24809.8</v>
      </c>
      <c r="N610" t="str">
        <f t="shared" si="19"/>
        <v>High</v>
      </c>
    </row>
    <row r="611" spans="1:14" x14ac:dyDescent="0.3">
      <c r="A611" t="s">
        <v>669</v>
      </c>
      <c r="B611" s="1">
        <v>45474</v>
      </c>
      <c r="C611" s="1" t="str">
        <f t="shared" si="18"/>
        <v>July</v>
      </c>
      <c r="D611" t="s">
        <v>38</v>
      </c>
      <c r="E611" t="s">
        <v>51</v>
      </c>
      <c r="F611" t="s">
        <v>15</v>
      </c>
      <c r="G611">
        <v>4</v>
      </c>
      <c r="H611">
        <v>7716</v>
      </c>
      <c r="I611" s="3">
        <v>0.1</v>
      </c>
      <c r="J611" t="s">
        <v>16</v>
      </c>
      <c r="K611" t="s">
        <v>49</v>
      </c>
      <c r="L611" t="s">
        <v>33</v>
      </c>
      <c r="M611">
        <v>27777.599999999999</v>
      </c>
      <c r="N611" t="str">
        <f t="shared" si="19"/>
        <v>High</v>
      </c>
    </row>
    <row r="612" spans="1:14" x14ac:dyDescent="0.3">
      <c r="A612" t="s">
        <v>670</v>
      </c>
      <c r="B612" s="1">
        <v>45318</v>
      </c>
      <c r="C612" s="1" t="str">
        <f t="shared" si="18"/>
        <v>January</v>
      </c>
      <c r="D612" t="s">
        <v>25</v>
      </c>
      <c r="E612" t="s">
        <v>87</v>
      </c>
      <c r="F612" t="s">
        <v>47</v>
      </c>
      <c r="G612">
        <v>5</v>
      </c>
      <c r="H612">
        <v>6749.53</v>
      </c>
      <c r="I612" s="3">
        <v>0.25</v>
      </c>
      <c r="J612" t="s">
        <v>16</v>
      </c>
      <c r="K612" t="s">
        <v>49</v>
      </c>
      <c r="L612" t="s">
        <v>33</v>
      </c>
      <c r="M612">
        <v>25310.74</v>
      </c>
      <c r="N612" t="str">
        <f t="shared" si="19"/>
        <v>High</v>
      </c>
    </row>
    <row r="613" spans="1:14" x14ac:dyDescent="0.3">
      <c r="A613" t="s">
        <v>671</v>
      </c>
      <c r="B613" s="1">
        <v>45350</v>
      </c>
      <c r="C613" s="1" t="str">
        <f t="shared" si="18"/>
        <v>February</v>
      </c>
      <c r="D613" t="s">
        <v>38</v>
      </c>
      <c r="E613" t="s">
        <v>42</v>
      </c>
      <c r="F613" t="s">
        <v>27</v>
      </c>
      <c r="G613">
        <v>3</v>
      </c>
      <c r="H613">
        <v>1176.46</v>
      </c>
      <c r="I613" s="3">
        <v>0</v>
      </c>
      <c r="J613" t="s">
        <v>28</v>
      </c>
      <c r="K613" t="s">
        <v>29</v>
      </c>
      <c r="L613" t="s">
        <v>33</v>
      </c>
      <c r="M613">
        <v>3529.38</v>
      </c>
      <c r="N613" t="str">
        <f t="shared" si="19"/>
        <v>Low</v>
      </c>
    </row>
    <row r="614" spans="1:14" x14ac:dyDescent="0.3">
      <c r="A614" t="s">
        <v>672</v>
      </c>
      <c r="B614" s="1">
        <v>45418</v>
      </c>
      <c r="C614" s="1" t="str">
        <f t="shared" si="18"/>
        <v>May</v>
      </c>
      <c r="D614" t="s">
        <v>20</v>
      </c>
      <c r="E614" t="s">
        <v>59</v>
      </c>
      <c r="F614" t="s">
        <v>80</v>
      </c>
      <c r="G614">
        <v>3</v>
      </c>
      <c r="H614">
        <v>708.9</v>
      </c>
      <c r="I614" s="3">
        <v>0</v>
      </c>
      <c r="J614" t="s">
        <v>16</v>
      </c>
      <c r="K614" t="s">
        <v>29</v>
      </c>
      <c r="L614" t="s">
        <v>33</v>
      </c>
      <c r="M614">
        <v>2126.6999999999998</v>
      </c>
      <c r="N614" t="str">
        <f t="shared" si="19"/>
        <v>Low</v>
      </c>
    </row>
    <row r="615" spans="1:14" x14ac:dyDescent="0.3">
      <c r="A615" t="s">
        <v>673</v>
      </c>
      <c r="B615" s="1">
        <v>45337</v>
      </c>
      <c r="C615" s="1" t="str">
        <f t="shared" si="18"/>
        <v>February</v>
      </c>
      <c r="D615" t="s">
        <v>38</v>
      </c>
      <c r="E615" t="s">
        <v>100</v>
      </c>
      <c r="F615" t="s">
        <v>1160</v>
      </c>
      <c r="G615">
        <v>6</v>
      </c>
      <c r="H615">
        <v>3761.74</v>
      </c>
      <c r="I615" s="3">
        <v>0</v>
      </c>
      <c r="J615" t="s">
        <v>16</v>
      </c>
      <c r="K615" t="s">
        <v>49</v>
      </c>
      <c r="L615" t="s">
        <v>33</v>
      </c>
      <c r="M615">
        <v>22570.44</v>
      </c>
      <c r="N615" t="str">
        <f t="shared" si="19"/>
        <v>High</v>
      </c>
    </row>
    <row r="616" spans="1:14" x14ac:dyDescent="0.3">
      <c r="A616" t="s">
        <v>674</v>
      </c>
      <c r="B616" s="1">
        <v>45532</v>
      </c>
      <c r="C616" s="1" t="str">
        <f t="shared" si="18"/>
        <v>August</v>
      </c>
      <c r="D616" t="s">
        <v>38</v>
      </c>
      <c r="E616" t="s">
        <v>51</v>
      </c>
      <c r="F616" t="s">
        <v>15</v>
      </c>
      <c r="G616">
        <v>1</v>
      </c>
      <c r="H616">
        <v>4212.76</v>
      </c>
      <c r="I616" s="3">
        <v>0.1</v>
      </c>
      <c r="J616" t="s">
        <v>16</v>
      </c>
      <c r="K616" t="s">
        <v>29</v>
      </c>
      <c r="L616" t="s">
        <v>33</v>
      </c>
      <c r="M616">
        <f>Orders[[#This Row],[Quantity]]*Orders[[#This Row],[UnitPrice]]-Orders[[#This Row],[Discount%]]</f>
        <v>4212.66</v>
      </c>
      <c r="N616" t="str">
        <f t="shared" si="19"/>
        <v>Low</v>
      </c>
    </row>
    <row r="617" spans="1:14" x14ac:dyDescent="0.3">
      <c r="A617" t="s">
        <v>675</v>
      </c>
      <c r="B617" s="1">
        <v>45552</v>
      </c>
      <c r="C617" s="1" t="str">
        <f t="shared" si="18"/>
        <v>September</v>
      </c>
      <c r="D617" t="s">
        <v>35</v>
      </c>
      <c r="E617" t="s">
        <v>36</v>
      </c>
      <c r="F617" t="s">
        <v>32</v>
      </c>
      <c r="G617">
        <v>5</v>
      </c>
      <c r="H617">
        <v>3884.11</v>
      </c>
      <c r="I617" s="3">
        <v>0.1</v>
      </c>
      <c r="J617" t="s">
        <v>16</v>
      </c>
      <c r="K617" t="s">
        <v>49</v>
      </c>
      <c r="L617" t="s">
        <v>18</v>
      </c>
      <c r="M617">
        <v>17478.490000000002</v>
      </c>
      <c r="N617" t="str">
        <f t="shared" si="19"/>
        <v>Medium</v>
      </c>
    </row>
    <row r="618" spans="1:14" x14ac:dyDescent="0.3">
      <c r="A618" t="s">
        <v>676</v>
      </c>
      <c r="B618" s="1">
        <v>45558</v>
      </c>
      <c r="C618" s="1" t="str">
        <f t="shared" si="18"/>
        <v>September</v>
      </c>
      <c r="D618" t="s">
        <v>35</v>
      </c>
      <c r="E618" t="s">
        <v>65</v>
      </c>
      <c r="F618" t="s">
        <v>44</v>
      </c>
      <c r="G618">
        <v>1</v>
      </c>
      <c r="H618">
        <v>4874.92</v>
      </c>
      <c r="I618" s="3">
        <v>0</v>
      </c>
      <c r="J618" t="s">
        <v>16</v>
      </c>
      <c r="K618" t="s">
        <v>40</v>
      </c>
      <c r="L618" t="s">
        <v>33</v>
      </c>
      <c r="M618">
        <v>4874.92</v>
      </c>
      <c r="N618" t="str">
        <f t="shared" si="19"/>
        <v>Low</v>
      </c>
    </row>
    <row r="619" spans="1:14" x14ac:dyDescent="0.3">
      <c r="A619" t="s">
        <v>677</v>
      </c>
      <c r="B619" s="1">
        <v>45637</v>
      </c>
      <c r="C619" s="1" t="str">
        <f t="shared" si="18"/>
        <v>December</v>
      </c>
      <c r="D619" t="s">
        <v>38</v>
      </c>
      <c r="E619" t="s">
        <v>39</v>
      </c>
      <c r="F619" t="s">
        <v>80</v>
      </c>
      <c r="G619">
        <v>2</v>
      </c>
      <c r="H619">
        <v>1581.92</v>
      </c>
      <c r="I619" s="3">
        <v>0.15</v>
      </c>
      <c r="J619" t="s">
        <v>16</v>
      </c>
      <c r="K619" t="s">
        <v>17</v>
      </c>
      <c r="L619" t="s">
        <v>18</v>
      </c>
      <c r="M619">
        <v>2689.26</v>
      </c>
      <c r="N619" t="str">
        <f t="shared" si="19"/>
        <v>Low</v>
      </c>
    </row>
    <row r="620" spans="1:14" x14ac:dyDescent="0.3">
      <c r="A620" t="s">
        <v>678</v>
      </c>
      <c r="B620" s="1">
        <v>45385</v>
      </c>
      <c r="C620" s="1" t="str">
        <f t="shared" si="18"/>
        <v>April</v>
      </c>
      <c r="D620" t="s">
        <v>25</v>
      </c>
      <c r="E620" t="s">
        <v>94</v>
      </c>
      <c r="F620" t="s">
        <v>80</v>
      </c>
      <c r="G620">
        <v>3</v>
      </c>
      <c r="H620">
        <v>7321.55</v>
      </c>
      <c r="I620" s="3">
        <v>0.25</v>
      </c>
      <c r="J620" t="s">
        <v>22</v>
      </c>
      <c r="K620" t="s">
        <v>40</v>
      </c>
      <c r="L620" t="s">
        <v>18</v>
      </c>
      <c r="M620">
        <v>16473.490000000002</v>
      </c>
      <c r="N620" t="str">
        <f t="shared" si="19"/>
        <v>Medium</v>
      </c>
    </row>
    <row r="621" spans="1:14" x14ac:dyDescent="0.3">
      <c r="A621" t="s">
        <v>679</v>
      </c>
      <c r="B621" s="1">
        <v>45476</v>
      </c>
      <c r="C621" s="1" t="str">
        <f t="shared" si="18"/>
        <v>July</v>
      </c>
      <c r="D621" t="s">
        <v>25</v>
      </c>
      <c r="E621" t="s">
        <v>94</v>
      </c>
      <c r="F621" t="s">
        <v>15</v>
      </c>
      <c r="G621">
        <v>4</v>
      </c>
      <c r="H621">
        <v>7907.78</v>
      </c>
      <c r="I621" s="3">
        <v>0.15</v>
      </c>
      <c r="J621" t="s">
        <v>22</v>
      </c>
      <c r="K621" t="s">
        <v>23</v>
      </c>
      <c r="L621" t="s">
        <v>33</v>
      </c>
      <c r="M621">
        <v>26886.45</v>
      </c>
      <c r="N621" t="str">
        <f t="shared" si="19"/>
        <v>High</v>
      </c>
    </row>
    <row r="622" spans="1:14" x14ac:dyDescent="0.3">
      <c r="A622" t="s">
        <v>680</v>
      </c>
      <c r="B622" s="1">
        <v>45631</v>
      </c>
      <c r="C622" s="1" t="str">
        <f t="shared" si="18"/>
        <v>December</v>
      </c>
      <c r="D622" t="s">
        <v>25</v>
      </c>
      <c r="E622" t="s">
        <v>46</v>
      </c>
      <c r="F622" t="s">
        <v>27</v>
      </c>
      <c r="G622">
        <v>3</v>
      </c>
      <c r="H622">
        <v>5721.94</v>
      </c>
      <c r="I622" s="3">
        <v>0.25</v>
      </c>
      <c r="J622" t="s">
        <v>28</v>
      </c>
      <c r="K622" t="s">
        <v>23</v>
      </c>
      <c r="L622" t="s">
        <v>33</v>
      </c>
      <c r="M622">
        <v>12874.36</v>
      </c>
      <c r="N622" t="str">
        <f t="shared" si="19"/>
        <v>Medium</v>
      </c>
    </row>
    <row r="623" spans="1:14" x14ac:dyDescent="0.3">
      <c r="A623" t="s">
        <v>681</v>
      </c>
      <c r="B623" s="1">
        <v>45326</v>
      </c>
      <c r="C623" s="1" t="str">
        <f t="shared" si="18"/>
        <v>February</v>
      </c>
      <c r="D623" t="s">
        <v>38</v>
      </c>
      <c r="E623" t="s">
        <v>100</v>
      </c>
      <c r="F623" t="s">
        <v>15</v>
      </c>
      <c r="G623">
        <v>3</v>
      </c>
      <c r="H623">
        <v>3906.04</v>
      </c>
      <c r="I623" s="3">
        <v>0</v>
      </c>
      <c r="J623" t="s">
        <v>16</v>
      </c>
      <c r="K623" t="s">
        <v>23</v>
      </c>
      <c r="L623" t="s">
        <v>33</v>
      </c>
      <c r="M623">
        <v>11718.12</v>
      </c>
      <c r="N623" t="str">
        <f t="shared" si="19"/>
        <v>Medium</v>
      </c>
    </row>
    <row r="624" spans="1:14" x14ac:dyDescent="0.3">
      <c r="A624" t="s">
        <v>682</v>
      </c>
      <c r="B624" s="1">
        <v>45538</v>
      </c>
      <c r="C624" s="1" t="str">
        <f t="shared" si="18"/>
        <v>September</v>
      </c>
      <c r="D624" t="s">
        <v>35</v>
      </c>
      <c r="E624" t="s">
        <v>36</v>
      </c>
      <c r="F624" t="s">
        <v>15</v>
      </c>
      <c r="G624">
        <v>6</v>
      </c>
      <c r="H624">
        <v>1782.8</v>
      </c>
      <c r="I624" s="3">
        <v>0.05</v>
      </c>
      <c r="J624" t="s">
        <v>16</v>
      </c>
      <c r="K624" t="s">
        <v>49</v>
      </c>
      <c r="L624" t="s">
        <v>33</v>
      </c>
      <c r="M624">
        <v>10161.959999999999</v>
      </c>
      <c r="N624" t="str">
        <f t="shared" si="19"/>
        <v>Medium</v>
      </c>
    </row>
    <row r="625" spans="1:14" x14ac:dyDescent="0.3">
      <c r="A625" t="s">
        <v>683</v>
      </c>
      <c r="B625" s="1">
        <v>45574</v>
      </c>
      <c r="C625" s="1" t="str">
        <f t="shared" si="18"/>
        <v>October</v>
      </c>
      <c r="D625" t="s">
        <v>38</v>
      </c>
      <c r="E625" t="s">
        <v>164</v>
      </c>
      <c r="F625" t="s">
        <v>15</v>
      </c>
      <c r="G625">
        <v>6</v>
      </c>
      <c r="H625">
        <v>324.97000000000003</v>
      </c>
      <c r="I625" s="3">
        <v>0.15</v>
      </c>
      <c r="J625" t="s">
        <v>55</v>
      </c>
      <c r="K625" t="s">
        <v>23</v>
      </c>
      <c r="L625" t="s">
        <v>33</v>
      </c>
      <c r="M625">
        <v>1657.35</v>
      </c>
      <c r="N625" t="str">
        <f t="shared" si="19"/>
        <v>Low</v>
      </c>
    </row>
    <row r="626" spans="1:14" x14ac:dyDescent="0.3">
      <c r="A626" t="s">
        <v>684</v>
      </c>
      <c r="B626" s="1">
        <v>45350</v>
      </c>
      <c r="C626" s="1" t="str">
        <f t="shared" si="18"/>
        <v>February</v>
      </c>
      <c r="D626" t="s">
        <v>20</v>
      </c>
      <c r="E626" t="s">
        <v>59</v>
      </c>
      <c r="F626" t="s">
        <v>44</v>
      </c>
      <c r="G626">
        <v>6</v>
      </c>
      <c r="H626">
        <v>1392.79</v>
      </c>
      <c r="I626" s="3">
        <v>0.1</v>
      </c>
      <c r="J626" t="s">
        <v>16</v>
      </c>
      <c r="K626" t="s">
        <v>29</v>
      </c>
      <c r="L626" t="s">
        <v>18</v>
      </c>
      <c r="M626">
        <v>7521.07</v>
      </c>
      <c r="N626" t="str">
        <f t="shared" si="19"/>
        <v>Low</v>
      </c>
    </row>
    <row r="627" spans="1:14" x14ac:dyDescent="0.3">
      <c r="A627" t="s">
        <v>685</v>
      </c>
      <c r="B627" s="1">
        <v>45576</v>
      </c>
      <c r="C627" s="1" t="str">
        <f t="shared" si="18"/>
        <v>October</v>
      </c>
      <c r="D627" t="s">
        <v>38</v>
      </c>
      <c r="E627" t="s">
        <v>100</v>
      </c>
      <c r="F627" t="s">
        <v>80</v>
      </c>
      <c r="G627">
        <v>1</v>
      </c>
      <c r="H627">
        <v>6145.1</v>
      </c>
      <c r="I627" s="3">
        <v>0.1</v>
      </c>
      <c r="J627" t="s">
        <v>55</v>
      </c>
      <c r="K627" t="s">
        <v>40</v>
      </c>
      <c r="L627" t="s">
        <v>33</v>
      </c>
      <c r="M627">
        <v>5530.59</v>
      </c>
      <c r="N627" t="str">
        <f t="shared" si="19"/>
        <v>Low</v>
      </c>
    </row>
    <row r="628" spans="1:14" x14ac:dyDescent="0.3">
      <c r="A628" t="s">
        <v>686</v>
      </c>
      <c r="B628" s="1">
        <v>45635</v>
      </c>
      <c r="C628" s="1" t="str">
        <f t="shared" si="18"/>
        <v>December</v>
      </c>
      <c r="D628" t="s">
        <v>25</v>
      </c>
      <c r="E628" t="s">
        <v>31</v>
      </c>
      <c r="F628" t="s">
        <v>44</v>
      </c>
      <c r="G628">
        <v>3</v>
      </c>
      <c r="H628">
        <v>6750.86</v>
      </c>
      <c r="I628" s="3">
        <v>0</v>
      </c>
      <c r="J628" t="s">
        <v>16</v>
      </c>
      <c r="K628" t="s">
        <v>49</v>
      </c>
      <c r="L628" t="s">
        <v>33</v>
      </c>
      <c r="M628">
        <v>20252.580000000002</v>
      </c>
      <c r="N628" t="str">
        <f t="shared" si="19"/>
        <v>High</v>
      </c>
    </row>
    <row r="629" spans="1:14" x14ac:dyDescent="0.3">
      <c r="A629" t="s">
        <v>687</v>
      </c>
      <c r="B629" s="1">
        <v>45440</v>
      </c>
      <c r="C629" s="1" t="str">
        <f t="shared" si="18"/>
        <v>May</v>
      </c>
      <c r="D629" t="s">
        <v>35</v>
      </c>
      <c r="E629" t="s">
        <v>68</v>
      </c>
      <c r="F629" t="s">
        <v>80</v>
      </c>
      <c r="G629">
        <v>1</v>
      </c>
      <c r="H629">
        <v>4392.1000000000004</v>
      </c>
      <c r="I629" s="3">
        <v>0</v>
      </c>
      <c r="J629" t="s">
        <v>55</v>
      </c>
      <c r="K629" t="s">
        <v>40</v>
      </c>
      <c r="L629" t="s">
        <v>33</v>
      </c>
      <c r="M629">
        <v>4392.1000000000004</v>
      </c>
      <c r="N629" t="str">
        <f t="shared" si="19"/>
        <v>Low</v>
      </c>
    </row>
    <row r="630" spans="1:14" x14ac:dyDescent="0.3">
      <c r="A630" t="s">
        <v>688</v>
      </c>
      <c r="B630" s="1">
        <v>45509</v>
      </c>
      <c r="C630" s="1" t="str">
        <f t="shared" si="18"/>
        <v>August</v>
      </c>
      <c r="D630" t="s">
        <v>35</v>
      </c>
      <c r="E630" t="s">
        <v>63</v>
      </c>
      <c r="F630" t="s">
        <v>15</v>
      </c>
      <c r="G630">
        <v>3</v>
      </c>
      <c r="H630">
        <v>4926.75</v>
      </c>
      <c r="I630" s="3">
        <v>0.15</v>
      </c>
      <c r="J630" t="s">
        <v>28</v>
      </c>
      <c r="K630" t="s">
        <v>49</v>
      </c>
      <c r="L630" t="s">
        <v>18</v>
      </c>
      <c r="M630">
        <v>12563.21</v>
      </c>
      <c r="N630" t="str">
        <f t="shared" si="19"/>
        <v>Medium</v>
      </c>
    </row>
    <row r="631" spans="1:14" x14ac:dyDescent="0.3">
      <c r="A631" t="s">
        <v>689</v>
      </c>
      <c r="B631" s="1">
        <v>45478</v>
      </c>
      <c r="C631" s="1" t="str">
        <f t="shared" si="18"/>
        <v>July</v>
      </c>
      <c r="D631" t="s">
        <v>38</v>
      </c>
      <c r="E631" t="s">
        <v>42</v>
      </c>
      <c r="F631" t="s">
        <v>1160</v>
      </c>
      <c r="G631">
        <v>5</v>
      </c>
      <c r="H631">
        <v>3861.02</v>
      </c>
      <c r="I631" s="3">
        <v>0</v>
      </c>
      <c r="J631" t="s">
        <v>16</v>
      </c>
      <c r="K631" t="s">
        <v>49</v>
      </c>
      <c r="L631" t="s">
        <v>33</v>
      </c>
      <c r="M631">
        <v>19305.099999999999</v>
      </c>
      <c r="N631" t="str">
        <f t="shared" si="19"/>
        <v>Medium</v>
      </c>
    </row>
    <row r="632" spans="1:14" x14ac:dyDescent="0.3">
      <c r="A632" t="s">
        <v>690</v>
      </c>
      <c r="B632" s="1">
        <v>45473</v>
      </c>
      <c r="C632" s="1" t="str">
        <f t="shared" si="18"/>
        <v>June</v>
      </c>
      <c r="D632" t="s">
        <v>20</v>
      </c>
      <c r="E632" t="s">
        <v>59</v>
      </c>
      <c r="F632" t="s">
        <v>47</v>
      </c>
      <c r="G632">
        <v>6</v>
      </c>
      <c r="H632">
        <v>1624.89</v>
      </c>
      <c r="I632" s="3">
        <v>0.25</v>
      </c>
      <c r="J632" t="s">
        <v>22</v>
      </c>
      <c r="K632" t="s">
        <v>17</v>
      </c>
      <c r="L632" t="s">
        <v>33</v>
      </c>
      <c r="M632">
        <v>7312.01</v>
      </c>
      <c r="N632" t="str">
        <f t="shared" si="19"/>
        <v>Low</v>
      </c>
    </row>
    <row r="633" spans="1:14" x14ac:dyDescent="0.3">
      <c r="A633" t="s">
        <v>691</v>
      </c>
      <c r="B633" s="1">
        <v>45318</v>
      </c>
      <c r="C633" s="1" t="str">
        <f t="shared" si="18"/>
        <v>January</v>
      </c>
      <c r="D633" t="s">
        <v>13</v>
      </c>
      <c r="E633" t="s">
        <v>74</v>
      </c>
      <c r="F633" t="s">
        <v>32</v>
      </c>
      <c r="G633">
        <v>1</v>
      </c>
      <c r="H633">
        <v>3784.25</v>
      </c>
      <c r="I633" s="3">
        <v>0</v>
      </c>
      <c r="J633" t="s">
        <v>28</v>
      </c>
      <c r="K633" t="s">
        <v>49</v>
      </c>
      <c r="L633" t="s">
        <v>33</v>
      </c>
      <c r="M633">
        <v>3784.25</v>
      </c>
      <c r="N633" t="str">
        <f t="shared" si="19"/>
        <v>Low</v>
      </c>
    </row>
    <row r="634" spans="1:14" x14ac:dyDescent="0.3">
      <c r="A634" t="s">
        <v>692</v>
      </c>
      <c r="B634" s="1">
        <v>45575</v>
      </c>
      <c r="C634" s="1" t="str">
        <f t="shared" si="18"/>
        <v>October</v>
      </c>
      <c r="D634" t="s">
        <v>38</v>
      </c>
      <c r="E634" t="s">
        <v>51</v>
      </c>
      <c r="F634" t="s">
        <v>44</v>
      </c>
      <c r="G634">
        <v>3</v>
      </c>
      <c r="H634">
        <v>5282.79</v>
      </c>
      <c r="I634" s="3">
        <v>0.25</v>
      </c>
      <c r="J634" t="s">
        <v>16</v>
      </c>
      <c r="K634" t="s">
        <v>40</v>
      </c>
      <c r="L634" t="s">
        <v>18</v>
      </c>
      <c r="M634">
        <v>11886.28</v>
      </c>
      <c r="N634" t="str">
        <f t="shared" si="19"/>
        <v>Medium</v>
      </c>
    </row>
    <row r="635" spans="1:14" x14ac:dyDescent="0.3">
      <c r="A635" t="s">
        <v>693</v>
      </c>
      <c r="B635" s="1">
        <v>45624</v>
      </c>
      <c r="C635" s="1" t="str">
        <f t="shared" si="18"/>
        <v>November</v>
      </c>
      <c r="D635" t="s">
        <v>38</v>
      </c>
      <c r="E635" t="s">
        <v>164</v>
      </c>
      <c r="F635" t="s">
        <v>32</v>
      </c>
      <c r="G635">
        <v>5</v>
      </c>
      <c r="H635">
        <v>1296.58</v>
      </c>
      <c r="I635" s="3">
        <v>0.1</v>
      </c>
      <c r="J635" t="s">
        <v>28</v>
      </c>
      <c r="K635" t="s">
        <v>17</v>
      </c>
      <c r="L635" t="s">
        <v>33</v>
      </c>
      <c r="M635">
        <v>5834.61</v>
      </c>
      <c r="N635" t="str">
        <f t="shared" si="19"/>
        <v>Low</v>
      </c>
    </row>
    <row r="636" spans="1:14" x14ac:dyDescent="0.3">
      <c r="A636" t="s">
        <v>694</v>
      </c>
      <c r="B636" s="1">
        <v>45652</v>
      </c>
      <c r="C636" s="1" t="str">
        <f t="shared" si="18"/>
        <v>December</v>
      </c>
      <c r="D636" t="s">
        <v>35</v>
      </c>
      <c r="E636" t="s">
        <v>36</v>
      </c>
      <c r="F636" t="s">
        <v>1160</v>
      </c>
      <c r="G636">
        <v>2</v>
      </c>
      <c r="H636">
        <v>6281.43</v>
      </c>
      <c r="I636" s="3">
        <v>0.15</v>
      </c>
      <c r="J636" t="s">
        <v>16</v>
      </c>
      <c r="K636" t="s">
        <v>29</v>
      </c>
      <c r="L636" t="s">
        <v>33</v>
      </c>
      <c r="M636">
        <v>10678.43</v>
      </c>
      <c r="N636" t="str">
        <f t="shared" si="19"/>
        <v>Medium</v>
      </c>
    </row>
    <row r="637" spans="1:14" x14ac:dyDescent="0.3">
      <c r="A637" t="s">
        <v>695</v>
      </c>
      <c r="B637" s="1">
        <v>45435</v>
      </c>
      <c r="C637" s="1" t="str">
        <f t="shared" si="18"/>
        <v>May</v>
      </c>
      <c r="D637" t="s">
        <v>20</v>
      </c>
      <c r="E637" t="s">
        <v>59</v>
      </c>
      <c r="F637" t="s">
        <v>53</v>
      </c>
      <c r="G637">
        <v>6</v>
      </c>
      <c r="H637">
        <v>4011.14</v>
      </c>
      <c r="I637" s="3">
        <v>0.15</v>
      </c>
      <c r="J637" t="s">
        <v>16</v>
      </c>
      <c r="K637" t="s">
        <v>17</v>
      </c>
      <c r="L637" t="s">
        <v>33</v>
      </c>
      <c r="M637">
        <v>20456.810000000001</v>
      </c>
      <c r="N637" t="str">
        <f t="shared" si="19"/>
        <v>High</v>
      </c>
    </row>
    <row r="638" spans="1:14" x14ac:dyDescent="0.3">
      <c r="A638" t="s">
        <v>696</v>
      </c>
      <c r="B638" s="1">
        <v>45538</v>
      </c>
      <c r="C638" s="1" t="str">
        <f t="shared" si="18"/>
        <v>September</v>
      </c>
      <c r="D638" t="s">
        <v>35</v>
      </c>
      <c r="E638" t="s">
        <v>97</v>
      </c>
      <c r="F638" t="s">
        <v>53</v>
      </c>
      <c r="G638">
        <v>2</v>
      </c>
      <c r="H638">
        <v>2892.1</v>
      </c>
      <c r="I638" s="3">
        <v>0.05</v>
      </c>
      <c r="J638" t="s">
        <v>22</v>
      </c>
      <c r="K638" t="s">
        <v>23</v>
      </c>
      <c r="L638" t="s">
        <v>33</v>
      </c>
      <c r="M638">
        <v>5494.99</v>
      </c>
      <c r="N638" t="str">
        <f t="shared" si="19"/>
        <v>Low</v>
      </c>
    </row>
    <row r="639" spans="1:14" x14ac:dyDescent="0.3">
      <c r="A639" t="s">
        <v>697</v>
      </c>
      <c r="B639" s="1">
        <v>45334</v>
      </c>
      <c r="C639" s="1" t="str">
        <f t="shared" si="18"/>
        <v>February</v>
      </c>
      <c r="D639" t="s">
        <v>20</v>
      </c>
      <c r="E639" t="s">
        <v>57</v>
      </c>
      <c r="F639" t="s">
        <v>27</v>
      </c>
      <c r="G639">
        <v>1</v>
      </c>
      <c r="H639">
        <v>5453.74</v>
      </c>
      <c r="I639" s="3">
        <v>0.2</v>
      </c>
      <c r="J639" t="s">
        <v>28</v>
      </c>
      <c r="K639" t="s">
        <v>17</v>
      </c>
      <c r="L639" t="s">
        <v>33</v>
      </c>
      <c r="M639">
        <v>4362.99</v>
      </c>
      <c r="N639" t="str">
        <f t="shared" si="19"/>
        <v>Low</v>
      </c>
    </row>
    <row r="640" spans="1:14" x14ac:dyDescent="0.3">
      <c r="A640" t="s">
        <v>698</v>
      </c>
      <c r="B640" s="1">
        <v>45496</v>
      </c>
      <c r="C640" s="1" t="str">
        <f t="shared" si="18"/>
        <v>July</v>
      </c>
      <c r="D640" t="s">
        <v>35</v>
      </c>
      <c r="E640" t="s">
        <v>68</v>
      </c>
      <c r="F640" t="s">
        <v>53</v>
      </c>
      <c r="G640">
        <v>1</v>
      </c>
      <c r="H640">
        <v>6934.18</v>
      </c>
      <c r="I640" s="3">
        <v>0.15</v>
      </c>
      <c r="J640" t="s">
        <v>16</v>
      </c>
      <c r="K640" t="s">
        <v>23</v>
      </c>
      <c r="L640" t="s">
        <v>18</v>
      </c>
      <c r="M640">
        <v>5894.05</v>
      </c>
      <c r="N640" t="str">
        <f t="shared" si="19"/>
        <v>Low</v>
      </c>
    </row>
    <row r="641" spans="1:14" x14ac:dyDescent="0.3">
      <c r="A641" t="s">
        <v>699</v>
      </c>
      <c r="B641" s="1">
        <v>45525</v>
      </c>
      <c r="C641" s="1" t="str">
        <f t="shared" si="18"/>
        <v>August</v>
      </c>
      <c r="D641" t="s">
        <v>25</v>
      </c>
      <c r="E641" t="s">
        <v>26</v>
      </c>
      <c r="F641" t="s">
        <v>80</v>
      </c>
      <c r="G641">
        <v>2</v>
      </c>
      <c r="H641">
        <v>6729.69</v>
      </c>
      <c r="I641" s="3">
        <v>0</v>
      </c>
      <c r="J641" t="s">
        <v>16</v>
      </c>
      <c r="K641" t="s">
        <v>29</v>
      </c>
      <c r="L641" t="s">
        <v>33</v>
      </c>
      <c r="M641">
        <v>13459.38</v>
      </c>
      <c r="N641" t="str">
        <f t="shared" si="19"/>
        <v>Medium</v>
      </c>
    </row>
    <row r="642" spans="1:14" x14ac:dyDescent="0.3">
      <c r="A642" t="s">
        <v>700</v>
      </c>
      <c r="B642" s="1">
        <v>45633</v>
      </c>
      <c r="C642" s="1" t="str">
        <f t="shared" ref="C642:C705" si="20">TEXT(B642,"mmmm")</f>
        <v>December</v>
      </c>
      <c r="D642" t="s">
        <v>20</v>
      </c>
      <c r="E642" t="s">
        <v>78</v>
      </c>
      <c r="F642" t="s">
        <v>47</v>
      </c>
      <c r="G642">
        <v>5</v>
      </c>
      <c r="H642">
        <v>4022.24</v>
      </c>
      <c r="I642" s="3">
        <v>0.1</v>
      </c>
      <c r="J642" t="s">
        <v>16</v>
      </c>
      <c r="K642" t="s">
        <v>49</v>
      </c>
      <c r="L642" t="s">
        <v>33</v>
      </c>
      <c r="M642">
        <v>18100.080000000002</v>
      </c>
      <c r="N642" t="str">
        <f t="shared" ref="N642:N705" si="21">IF(M642&gt;20000,"High",IF(M642&gt;10000,"Medium","Low"))</f>
        <v>Medium</v>
      </c>
    </row>
    <row r="643" spans="1:14" x14ac:dyDescent="0.3">
      <c r="A643" t="s">
        <v>701</v>
      </c>
      <c r="B643" s="1">
        <v>45623</v>
      </c>
      <c r="C643" s="1" t="str">
        <f t="shared" si="20"/>
        <v>November</v>
      </c>
      <c r="D643" t="s">
        <v>35</v>
      </c>
      <c r="E643" t="s">
        <v>68</v>
      </c>
      <c r="F643" t="s">
        <v>1160</v>
      </c>
      <c r="G643">
        <v>2</v>
      </c>
      <c r="H643">
        <v>4506.05</v>
      </c>
      <c r="I643" s="3">
        <v>0.15</v>
      </c>
      <c r="J643" t="s">
        <v>16</v>
      </c>
      <c r="K643" t="s">
        <v>23</v>
      </c>
      <c r="L643" t="s">
        <v>33</v>
      </c>
      <c r="M643">
        <v>7660.28</v>
      </c>
      <c r="N643" t="str">
        <f t="shared" si="21"/>
        <v>Low</v>
      </c>
    </row>
    <row r="644" spans="1:14" x14ac:dyDescent="0.3">
      <c r="A644" t="s">
        <v>702</v>
      </c>
      <c r="B644" s="1">
        <v>45391</v>
      </c>
      <c r="C644" s="1" t="str">
        <f t="shared" si="20"/>
        <v>April</v>
      </c>
      <c r="D644" t="s">
        <v>20</v>
      </c>
      <c r="E644" t="s">
        <v>57</v>
      </c>
      <c r="F644" t="s">
        <v>27</v>
      </c>
      <c r="G644">
        <v>1</v>
      </c>
      <c r="H644">
        <v>1972.45</v>
      </c>
      <c r="I644" s="3">
        <v>0.05</v>
      </c>
      <c r="J644" t="s">
        <v>16</v>
      </c>
      <c r="K644" t="s">
        <v>49</v>
      </c>
      <c r="L644" t="s">
        <v>33</v>
      </c>
      <c r="M644">
        <v>1873.83</v>
      </c>
      <c r="N644" t="str">
        <f t="shared" si="21"/>
        <v>Low</v>
      </c>
    </row>
    <row r="645" spans="1:14" x14ac:dyDescent="0.3">
      <c r="A645" t="s">
        <v>703</v>
      </c>
      <c r="B645" s="1">
        <v>45507</v>
      </c>
      <c r="C645" s="1" t="str">
        <f t="shared" si="20"/>
        <v>August</v>
      </c>
      <c r="D645" t="s">
        <v>13</v>
      </c>
      <c r="E645" t="s">
        <v>74</v>
      </c>
      <c r="F645" t="s">
        <v>32</v>
      </c>
      <c r="G645">
        <v>6</v>
      </c>
      <c r="H645">
        <v>4117.29</v>
      </c>
      <c r="I645" s="3">
        <v>0</v>
      </c>
      <c r="J645" t="s">
        <v>55</v>
      </c>
      <c r="K645" t="s">
        <v>23</v>
      </c>
      <c r="L645" t="s">
        <v>33</v>
      </c>
      <c r="M645">
        <v>24703.74</v>
      </c>
      <c r="N645" t="str">
        <f t="shared" si="21"/>
        <v>High</v>
      </c>
    </row>
    <row r="646" spans="1:14" x14ac:dyDescent="0.3">
      <c r="A646" t="s">
        <v>704</v>
      </c>
      <c r="B646" s="1">
        <v>45568</v>
      </c>
      <c r="C646" s="1" t="str">
        <f t="shared" si="20"/>
        <v>October</v>
      </c>
      <c r="D646" t="s">
        <v>25</v>
      </c>
      <c r="E646" t="s">
        <v>31</v>
      </c>
      <c r="F646" t="s">
        <v>1160</v>
      </c>
      <c r="G646">
        <v>1</v>
      </c>
      <c r="H646">
        <v>1203.5899999999999</v>
      </c>
      <c r="I646" s="3">
        <v>0.05</v>
      </c>
      <c r="J646" t="s">
        <v>28</v>
      </c>
      <c r="K646" t="s">
        <v>49</v>
      </c>
      <c r="L646" t="s">
        <v>18</v>
      </c>
      <c r="M646">
        <v>1143.4100000000001</v>
      </c>
      <c r="N646" t="str">
        <f t="shared" si="21"/>
        <v>Low</v>
      </c>
    </row>
    <row r="647" spans="1:14" x14ac:dyDescent="0.3">
      <c r="A647" t="s">
        <v>705</v>
      </c>
      <c r="B647" s="1">
        <v>45298</v>
      </c>
      <c r="C647" s="1" t="str">
        <f t="shared" si="20"/>
        <v>January</v>
      </c>
      <c r="D647" t="s">
        <v>25</v>
      </c>
      <c r="E647" t="s">
        <v>87</v>
      </c>
      <c r="F647" t="s">
        <v>47</v>
      </c>
      <c r="G647">
        <v>4</v>
      </c>
      <c r="H647">
        <v>7670.61</v>
      </c>
      <c r="I647" s="3">
        <v>0.25</v>
      </c>
      <c r="J647" t="s">
        <v>16</v>
      </c>
      <c r="K647" t="s">
        <v>40</v>
      </c>
      <c r="L647" t="s">
        <v>33</v>
      </c>
      <c r="M647">
        <v>23011.83</v>
      </c>
      <c r="N647" t="str">
        <f t="shared" si="21"/>
        <v>High</v>
      </c>
    </row>
    <row r="648" spans="1:14" x14ac:dyDescent="0.3">
      <c r="A648" t="s">
        <v>706</v>
      </c>
      <c r="B648" s="1">
        <v>45380</v>
      </c>
      <c r="C648" s="1" t="str">
        <f t="shared" si="20"/>
        <v>March</v>
      </c>
      <c r="D648" t="s">
        <v>20</v>
      </c>
      <c r="E648" t="s">
        <v>21</v>
      </c>
      <c r="F648" t="s">
        <v>44</v>
      </c>
      <c r="G648">
        <v>4</v>
      </c>
      <c r="H648">
        <v>5565.23</v>
      </c>
      <c r="I648" s="3">
        <v>0</v>
      </c>
      <c r="J648" t="s">
        <v>22</v>
      </c>
      <c r="K648" t="s">
        <v>29</v>
      </c>
      <c r="L648" t="s">
        <v>33</v>
      </c>
      <c r="M648">
        <v>22260.92</v>
      </c>
      <c r="N648" t="str">
        <f t="shared" si="21"/>
        <v>High</v>
      </c>
    </row>
    <row r="649" spans="1:14" x14ac:dyDescent="0.3">
      <c r="A649" t="s">
        <v>707</v>
      </c>
      <c r="B649" s="1">
        <v>45352</v>
      </c>
      <c r="C649" s="1" t="str">
        <f t="shared" si="20"/>
        <v>March</v>
      </c>
      <c r="D649" t="s">
        <v>13</v>
      </c>
      <c r="E649" t="s">
        <v>74</v>
      </c>
      <c r="F649" t="s">
        <v>32</v>
      </c>
      <c r="G649">
        <v>2</v>
      </c>
      <c r="H649">
        <v>2804.88</v>
      </c>
      <c r="I649" s="3">
        <v>0</v>
      </c>
      <c r="J649" t="s">
        <v>22</v>
      </c>
      <c r="K649" t="s">
        <v>29</v>
      </c>
      <c r="L649" t="s">
        <v>33</v>
      </c>
      <c r="M649">
        <v>5609.76</v>
      </c>
      <c r="N649" t="str">
        <f t="shared" si="21"/>
        <v>Low</v>
      </c>
    </row>
    <row r="650" spans="1:14" x14ac:dyDescent="0.3">
      <c r="A650" t="s">
        <v>708</v>
      </c>
      <c r="B650" s="1">
        <v>45308</v>
      </c>
      <c r="C650" s="1" t="str">
        <f t="shared" si="20"/>
        <v>January</v>
      </c>
      <c r="D650" t="s">
        <v>25</v>
      </c>
      <c r="E650" t="s">
        <v>94</v>
      </c>
      <c r="F650" t="s">
        <v>1160</v>
      </c>
      <c r="G650">
        <v>1</v>
      </c>
      <c r="H650">
        <v>2039.73</v>
      </c>
      <c r="I650" s="3">
        <v>0</v>
      </c>
      <c r="J650" t="s">
        <v>28</v>
      </c>
      <c r="K650" t="s">
        <v>23</v>
      </c>
      <c r="L650" t="s">
        <v>33</v>
      </c>
      <c r="M650">
        <v>2039.73</v>
      </c>
      <c r="N650" t="str">
        <f t="shared" si="21"/>
        <v>Low</v>
      </c>
    </row>
    <row r="651" spans="1:14" x14ac:dyDescent="0.3">
      <c r="A651" t="s">
        <v>709</v>
      </c>
      <c r="B651" s="1">
        <v>45575</v>
      </c>
      <c r="C651" s="1" t="str">
        <f t="shared" si="20"/>
        <v>October</v>
      </c>
      <c r="D651" t="s">
        <v>38</v>
      </c>
      <c r="E651" t="s">
        <v>51</v>
      </c>
      <c r="F651" t="s">
        <v>32</v>
      </c>
      <c r="G651">
        <v>3</v>
      </c>
      <c r="H651">
        <v>7596.33</v>
      </c>
      <c r="I651" s="3">
        <v>0</v>
      </c>
      <c r="J651" t="s">
        <v>28</v>
      </c>
      <c r="K651" t="s">
        <v>17</v>
      </c>
      <c r="L651" t="s">
        <v>18</v>
      </c>
      <c r="M651">
        <v>22788.99</v>
      </c>
      <c r="N651" t="str">
        <f t="shared" si="21"/>
        <v>High</v>
      </c>
    </row>
    <row r="652" spans="1:14" x14ac:dyDescent="0.3">
      <c r="A652" t="s">
        <v>710</v>
      </c>
      <c r="B652" s="1">
        <v>45482</v>
      </c>
      <c r="C652" s="1" t="str">
        <f t="shared" si="20"/>
        <v>July</v>
      </c>
      <c r="D652" t="s">
        <v>25</v>
      </c>
      <c r="E652" t="s">
        <v>87</v>
      </c>
      <c r="F652" t="s">
        <v>80</v>
      </c>
      <c r="G652">
        <v>1</v>
      </c>
      <c r="H652">
        <v>4940.93</v>
      </c>
      <c r="I652" s="3">
        <v>0.05</v>
      </c>
      <c r="J652" t="s">
        <v>16</v>
      </c>
      <c r="K652" t="s">
        <v>23</v>
      </c>
      <c r="L652" t="s">
        <v>33</v>
      </c>
      <c r="M652">
        <v>4693.88</v>
      </c>
      <c r="N652" t="str">
        <f t="shared" si="21"/>
        <v>Low</v>
      </c>
    </row>
    <row r="653" spans="1:14" x14ac:dyDescent="0.3">
      <c r="A653" t="s">
        <v>711</v>
      </c>
      <c r="B653" s="1">
        <v>45521</v>
      </c>
      <c r="C653" s="1" t="str">
        <f t="shared" si="20"/>
        <v>August</v>
      </c>
      <c r="D653" t="s">
        <v>13</v>
      </c>
      <c r="E653" t="s">
        <v>70</v>
      </c>
      <c r="F653" t="s">
        <v>1160</v>
      </c>
      <c r="G653">
        <v>4</v>
      </c>
      <c r="H653">
        <v>2521.9499999999998</v>
      </c>
      <c r="I653" s="3">
        <v>0.25</v>
      </c>
      <c r="J653" t="s">
        <v>55</v>
      </c>
      <c r="K653" t="s">
        <v>17</v>
      </c>
      <c r="L653" t="s">
        <v>33</v>
      </c>
      <c r="M653">
        <v>7565.85</v>
      </c>
      <c r="N653" t="str">
        <f t="shared" si="21"/>
        <v>Low</v>
      </c>
    </row>
    <row r="654" spans="1:14" x14ac:dyDescent="0.3">
      <c r="A654" t="s">
        <v>712</v>
      </c>
      <c r="B654" s="1">
        <v>45470</v>
      </c>
      <c r="C654" s="1" t="str">
        <f t="shared" si="20"/>
        <v>June</v>
      </c>
      <c r="D654" t="s">
        <v>38</v>
      </c>
      <c r="E654" t="s">
        <v>42</v>
      </c>
      <c r="F654" t="s">
        <v>1160</v>
      </c>
      <c r="G654">
        <v>3</v>
      </c>
      <c r="H654">
        <v>6328.22</v>
      </c>
      <c r="I654" s="3">
        <v>0.1</v>
      </c>
      <c r="J654" t="s">
        <v>16</v>
      </c>
      <c r="K654" t="s">
        <v>40</v>
      </c>
      <c r="L654" t="s">
        <v>33</v>
      </c>
      <c r="M654">
        <v>17086.189999999999</v>
      </c>
      <c r="N654" t="str">
        <f t="shared" si="21"/>
        <v>Medium</v>
      </c>
    </row>
    <row r="655" spans="1:14" x14ac:dyDescent="0.3">
      <c r="A655" t="s">
        <v>713</v>
      </c>
      <c r="B655" s="1">
        <v>45381</v>
      </c>
      <c r="C655" s="1" t="str">
        <f t="shared" si="20"/>
        <v>March</v>
      </c>
      <c r="D655" t="s">
        <v>35</v>
      </c>
      <c r="E655" t="s">
        <v>97</v>
      </c>
      <c r="F655" t="s">
        <v>80</v>
      </c>
      <c r="G655">
        <v>6</v>
      </c>
      <c r="H655">
        <v>2555.08</v>
      </c>
      <c r="I655" s="3">
        <v>0.25</v>
      </c>
      <c r="J655" t="s">
        <v>28</v>
      </c>
      <c r="K655" t="s">
        <v>49</v>
      </c>
      <c r="L655" t="s">
        <v>18</v>
      </c>
      <c r="M655">
        <v>11497.86</v>
      </c>
      <c r="N655" t="str">
        <f t="shared" si="21"/>
        <v>Medium</v>
      </c>
    </row>
    <row r="656" spans="1:14" x14ac:dyDescent="0.3">
      <c r="A656" t="s">
        <v>714</v>
      </c>
      <c r="B656" s="1">
        <v>45573</v>
      </c>
      <c r="C656" s="1" t="str">
        <f t="shared" si="20"/>
        <v>October</v>
      </c>
      <c r="D656" t="s">
        <v>25</v>
      </c>
      <c r="E656" t="s">
        <v>87</v>
      </c>
      <c r="F656" t="s">
        <v>27</v>
      </c>
      <c r="G656">
        <v>6</v>
      </c>
      <c r="H656">
        <v>7148.47</v>
      </c>
      <c r="I656" s="3">
        <v>0.05</v>
      </c>
      <c r="J656" t="s">
        <v>28</v>
      </c>
      <c r="K656" t="s">
        <v>23</v>
      </c>
      <c r="L656" t="s">
        <v>18</v>
      </c>
      <c r="M656">
        <v>40746.28</v>
      </c>
      <c r="N656" t="str">
        <f t="shared" si="21"/>
        <v>High</v>
      </c>
    </row>
    <row r="657" spans="1:14" x14ac:dyDescent="0.3">
      <c r="A657" t="s">
        <v>715</v>
      </c>
      <c r="B657" s="1">
        <v>45436</v>
      </c>
      <c r="C657" s="1" t="str">
        <f t="shared" si="20"/>
        <v>May</v>
      </c>
      <c r="D657" t="s">
        <v>25</v>
      </c>
      <c r="E657" t="s">
        <v>87</v>
      </c>
      <c r="F657" t="s">
        <v>32</v>
      </c>
      <c r="G657">
        <v>4</v>
      </c>
      <c r="H657">
        <v>6150.84</v>
      </c>
      <c r="I657" s="3">
        <v>0</v>
      </c>
      <c r="J657" t="s">
        <v>28</v>
      </c>
      <c r="K657" t="s">
        <v>49</v>
      </c>
      <c r="L657" t="s">
        <v>33</v>
      </c>
      <c r="M657">
        <v>24603.360000000001</v>
      </c>
      <c r="N657" t="str">
        <f t="shared" si="21"/>
        <v>High</v>
      </c>
    </row>
    <row r="658" spans="1:14" x14ac:dyDescent="0.3">
      <c r="A658" t="s">
        <v>716</v>
      </c>
      <c r="B658" s="1">
        <v>45297</v>
      </c>
      <c r="C658" s="1" t="str">
        <f t="shared" si="20"/>
        <v>January</v>
      </c>
      <c r="D658" t="s">
        <v>20</v>
      </c>
      <c r="E658" t="s">
        <v>78</v>
      </c>
      <c r="F658" t="s">
        <v>47</v>
      </c>
      <c r="G658">
        <v>3</v>
      </c>
      <c r="H658">
        <v>5874.36</v>
      </c>
      <c r="I658" s="3">
        <v>0.15</v>
      </c>
      <c r="J658" t="s">
        <v>28</v>
      </c>
      <c r="K658" t="s">
        <v>40</v>
      </c>
      <c r="L658" t="s">
        <v>33</v>
      </c>
      <c r="M658">
        <v>14979.62</v>
      </c>
      <c r="N658" t="str">
        <f t="shared" si="21"/>
        <v>Medium</v>
      </c>
    </row>
    <row r="659" spans="1:14" x14ac:dyDescent="0.3">
      <c r="A659" t="s">
        <v>717</v>
      </c>
      <c r="B659" s="1">
        <v>45648</v>
      </c>
      <c r="C659" s="1" t="str">
        <f t="shared" si="20"/>
        <v>December</v>
      </c>
      <c r="D659" t="s">
        <v>20</v>
      </c>
      <c r="E659" t="s">
        <v>59</v>
      </c>
      <c r="F659" t="s">
        <v>32</v>
      </c>
      <c r="G659">
        <v>1</v>
      </c>
      <c r="H659">
        <v>1819.12</v>
      </c>
      <c r="I659" s="3">
        <v>0.15</v>
      </c>
      <c r="J659" t="s">
        <v>16</v>
      </c>
      <c r="K659" t="s">
        <v>49</v>
      </c>
      <c r="L659" t="s">
        <v>18</v>
      </c>
      <c r="M659">
        <v>1546.25</v>
      </c>
      <c r="N659" t="str">
        <f t="shared" si="21"/>
        <v>Low</v>
      </c>
    </row>
    <row r="660" spans="1:14" x14ac:dyDescent="0.3">
      <c r="A660" t="s">
        <v>718</v>
      </c>
      <c r="B660" s="1">
        <v>45412</v>
      </c>
      <c r="C660" s="1" t="str">
        <f t="shared" si="20"/>
        <v>April</v>
      </c>
      <c r="D660" t="s">
        <v>20</v>
      </c>
      <c r="E660" t="s">
        <v>78</v>
      </c>
      <c r="F660" t="s">
        <v>53</v>
      </c>
      <c r="G660">
        <v>5</v>
      </c>
      <c r="H660">
        <v>5379.35</v>
      </c>
      <c r="I660" s="3">
        <v>0.05</v>
      </c>
      <c r="J660" t="s">
        <v>16</v>
      </c>
      <c r="K660" t="s">
        <v>40</v>
      </c>
      <c r="L660" t="s">
        <v>33</v>
      </c>
      <c r="M660">
        <v>25551.91</v>
      </c>
      <c r="N660" t="str">
        <f t="shared" si="21"/>
        <v>High</v>
      </c>
    </row>
    <row r="661" spans="1:14" x14ac:dyDescent="0.3">
      <c r="A661" t="s">
        <v>719</v>
      </c>
      <c r="B661" s="1">
        <v>45336</v>
      </c>
      <c r="C661" s="1" t="str">
        <f t="shared" si="20"/>
        <v>February</v>
      </c>
      <c r="D661" t="s">
        <v>35</v>
      </c>
      <c r="E661" t="s">
        <v>97</v>
      </c>
      <c r="F661" t="s">
        <v>80</v>
      </c>
      <c r="G661">
        <v>3</v>
      </c>
      <c r="H661">
        <v>6800.2</v>
      </c>
      <c r="I661" s="3">
        <v>0.15</v>
      </c>
      <c r="J661" t="s">
        <v>22</v>
      </c>
      <c r="K661" t="s">
        <v>49</v>
      </c>
      <c r="L661" t="s">
        <v>33</v>
      </c>
      <c r="M661">
        <v>17340.509999999998</v>
      </c>
      <c r="N661" t="str">
        <f t="shared" si="21"/>
        <v>Medium</v>
      </c>
    </row>
    <row r="662" spans="1:14" x14ac:dyDescent="0.3">
      <c r="A662" t="s">
        <v>720</v>
      </c>
      <c r="B662" s="1">
        <v>45300</v>
      </c>
      <c r="C662" s="1" t="str">
        <f t="shared" si="20"/>
        <v>January</v>
      </c>
      <c r="D662" t="s">
        <v>20</v>
      </c>
      <c r="E662" t="s">
        <v>61</v>
      </c>
      <c r="F662" t="s">
        <v>27</v>
      </c>
      <c r="G662">
        <v>2</v>
      </c>
      <c r="H662">
        <v>5109.8</v>
      </c>
      <c r="I662" s="3">
        <v>0.1</v>
      </c>
      <c r="J662" t="s">
        <v>22</v>
      </c>
      <c r="K662" t="s">
        <v>40</v>
      </c>
      <c r="L662" t="s">
        <v>33</v>
      </c>
      <c r="M662">
        <v>9197.64</v>
      </c>
      <c r="N662" t="str">
        <f t="shared" si="21"/>
        <v>Low</v>
      </c>
    </row>
    <row r="663" spans="1:14" x14ac:dyDescent="0.3">
      <c r="A663" t="s">
        <v>721</v>
      </c>
      <c r="B663" s="1">
        <v>45541</v>
      </c>
      <c r="C663" s="1" t="str">
        <f t="shared" si="20"/>
        <v>September</v>
      </c>
      <c r="D663" t="s">
        <v>13</v>
      </c>
      <c r="E663" t="s">
        <v>70</v>
      </c>
      <c r="F663" t="s">
        <v>27</v>
      </c>
      <c r="G663">
        <v>2</v>
      </c>
      <c r="H663">
        <v>1417.76</v>
      </c>
      <c r="I663" s="3">
        <v>0.25</v>
      </c>
      <c r="J663" t="s">
        <v>28</v>
      </c>
      <c r="K663" t="s">
        <v>49</v>
      </c>
      <c r="L663" t="s">
        <v>18</v>
      </c>
      <c r="M663">
        <v>2126.64</v>
      </c>
      <c r="N663" t="str">
        <f t="shared" si="21"/>
        <v>Low</v>
      </c>
    </row>
    <row r="664" spans="1:14" x14ac:dyDescent="0.3">
      <c r="A664" t="s">
        <v>722</v>
      </c>
      <c r="B664" s="1">
        <v>45532</v>
      </c>
      <c r="C664" s="1" t="str">
        <f t="shared" si="20"/>
        <v>August</v>
      </c>
      <c r="D664" t="s">
        <v>35</v>
      </c>
      <c r="E664" t="s">
        <v>36</v>
      </c>
      <c r="F664" t="s">
        <v>44</v>
      </c>
      <c r="G664">
        <v>6</v>
      </c>
      <c r="H664">
        <v>6127.65</v>
      </c>
      <c r="I664" s="3">
        <v>0.25</v>
      </c>
      <c r="J664" t="s">
        <v>16</v>
      </c>
      <c r="K664" t="s">
        <v>40</v>
      </c>
      <c r="L664" t="s">
        <v>33</v>
      </c>
      <c r="M664">
        <v>27574.42</v>
      </c>
      <c r="N664" t="str">
        <f t="shared" si="21"/>
        <v>High</v>
      </c>
    </row>
    <row r="665" spans="1:14" x14ac:dyDescent="0.3">
      <c r="A665" t="s">
        <v>723</v>
      </c>
      <c r="B665" s="1">
        <v>45419</v>
      </c>
      <c r="C665" s="1" t="str">
        <f t="shared" si="20"/>
        <v>May</v>
      </c>
      <c r="D665" t="s">
        <v>35</v>
      </c>
      <c r="E665" t="s">
        <v>68</v>
      </c>
      <c r="F665" t="s">
        <v>27</v>
      </c>
      <c r="G665">
        <v>1</v>
      </c>
      <c r="H665">
        <v>6444.59</v>
      </c>
      <c r="I665" s="3">
        <v>0.1</v>
      </c>
      <c r="J665" t="s">
        <v>55</v>
      </c>
      <c r="K665" t="s">
        <v>29</v>
      </c>
      <c r="L665" t="s">
        <v>33</v>
      </c>
      <c r="M665">
        <v>5800.13</v>
      </c>
      <c r="N665" t="str">
        <f t="shared" si="21"/>
        <v>Low</v>
      </c>
    </row>
    <row r="666" spans="1:14" x14ac:dyDescent="0.3">
      <c r="A666" t="s">
        <v>724</v>
      </c>
      <c r="B666" s="1">
        <v>45557</v>
      </c>
      <c r="C666" s="1" t="str">
        <f t="shared" si="20"/>
        <v>September</v>
      </c>
      <c r="D666" t="s">
        <v>25</v>
      </c>
      <c r="E666" t="s">
        <v>87</v>
      </c>
      <c r="F666" t="s">
        <v>44</v>
      </c>
      <c r="G666">
        <v>5</v>
      </c>
      <c r="H666">
        <v>4376.6000000000004</v>
      </c>
      <c r="I666" s="3">
        <v>0.1</v>
      </c>
      <c r="J666" t="s">
        <v>55</v>
      </c>
      <c r="K666" t="s">
        <v>49</v>
      </c>
      <c r="L666" t="s">
        <v>33</v>
      </c>
      <c r="M666">
        <v>19694.7</v>
      </c>
      <c r="N666" t="str">
        <f t="shared" si="21"/>
        <v>Medium</v>
      </c>
    </row>
    <row r="667" spans="1:14" x14ac:dyDescent="0.3">
      <c r="A667" t="s">
        <v>725</v>
      </c>
      <c r="B667" s="1">
        <v>45443</v>
      </c>
      <c r="C667" s="1" t="str">
        <f t="shared" si="20"/>
        <v>May</v>
      </c>
      <c r="D667" t="s">
        <v>25</v>
      </c>
      <c r="E667" t="s">
        <v>31</v>
      </c>
      <c r="F667" t="s">
        <v>44</v>
      </c>
      <c r="G667">
        <v>4</v>
      </c>
      <c r="H667">
        <v>1764.73</v>
      </c>
      <c r="I667" s="3">
        <v>0.25</v>
      </c>
      <c r="J667" t="s">
        <v>16</v>
      </c>
      <c r="K667" t="s">
        <v>49</v>
      </c>
      <c r="L667" t="s">
        <v>33</v>
      </c>
      <c r="M667">
        <v>5294.19</v>
      </c>
      <c r="N667" t="str">
        <f t="shared" si="21"/>
        <v>Low</v>
      </c>
    </row>
    <row r="668" spans="1:14" x14ac:dyDescent="0.3">
      <c r="A668" t="s">
        <v>726</v>
      </c>
      <c r="B668" s="1">
        <v>45482</v>
      </c>
      <c r="C668" s="1" t="str">
        <f t="shared" si="20"/>
        <v>July</v>
      </c>
      <c r="D668" t="s">
        <v>20</v>
      </c>
      <c r="E668" t="s">
        <v>59</v>
      </c>
      <c r="F668" t="s">
        <v>15</v>
      </c>
      <c r="G668">
        <v>5</v>
      </c>
      <c r="H668">
        <v>3685.31</v>
      </c>
      <c r="I668" s="3">
        <v>0.15</v>
      </c>
      <c r="J668" t="s">
        <v>22</v>
      </c>
      <c r="K668" t="s">
        <v>40</v>
      </c>
      <c r="L668" t="s">
        <v>33</v>
      </c>
      <c r="M668">
        <v>15662.57</v>
      </c>
      <c r="N668" t="str">
        <f t="shared" si="21"/>
        <v>Medium</v>
      </c>
    </row>
    <row r="669" spans="1:14" x14ac:dyDescent="0.3">
      <c r="A669" t="s">
        <v>727</v>
      </c>
      <c r="B669" s="1">
        <v>45561</v>
      </c>
      <c r="C669" s="1" t="str">
        <f t="shared" si="20"/>
        <v>September</v>
      </c>
      <c r="D669" t="s">
        <v>25</v>
      </c>
      <c r="E669" t="s">
        <v>26</v>
      </c>
      <c r="F669" t="s">
        <v>80</v>
      </c>
      <c r="G669">
        <v>1</v>
      </c>
      <c r="H669">
        <v>5851.44</v>
      </c>
      <c r="I669" s="3">
        <v>0</v>
      </c>
      <c r="J669" t="s">
        <v>16</v>
      </c>
      <c r="K669" t="s">
        <v>29</v>
      </c>
      <c r="L669" t="s">
        <v>33</v>
      </c>
      <c r="M669">
        <v>5851.44</v>
      </c>
      <c r="N669" t="str">
        <f t="shared" si="21"/>
        <v>Low</v>
      </c>
    </row>
    <row r="670" spans="1:14" x14ac:dyDescent="0.3">
      <c r="A670" t="s">
        <v>728</v>
      </c>
      <c r="B670" s="1">
        <v>45339</v>
      </c>
      <c r="C670" s="1" t="str">
        <f t="shared" si="20"/>
        <v>February</v>
      </c>
      <c r="D670" t="s">
        <v>25</v>
      </c>
      <c r="E670" t="s">
        <v>26</v>
      </c>
      <c r="F670" t="s">
        <v>47</v>
      </c>
      <c r="G670">
        <v>2</v>
      </c>
      <c r="H670">
        <v>7337.74</v>
      </c>
      <c r="I670" s="3">
        <v>0</v>
      </c>
      <c r="J670" t="s">
        <v>16</v>
      </c>
      <c r="K670" t="s">
        <v>23</v>
      </c>
      <c r="L670" t="s">
        <v>33</v>
      </c>
      <c r="M670">
        <v>14675.48</v>
      </c>
      <c r="N670" t="str">
        <f t="shared" si="21"/>
        <v>Medium</v>
      </c>
    </row>
    <row r="671" spans="1:14" x14ac:dyDescent="0.3">
      <c r="A671" t="s">
        <v>729</v>
      </c>
      <c r="B671" s="1">
        <v>45607</v>
      </c>
      <c r="C671" s="1" t="str">
        <f t="shared" si="20"/>
        <v>November</v>
      </c>
      <c r="D671" t="s">
        <v>13</v>
      </c>
      <c r="E671" t="s">
        <v>70</v>
      </c>
      <c r="F671" t="s">
        <v>32</v>
      </c>
      <c r="G671">
        <v>5</v>
      </c>
      <c r="H671">
        <v>3189.09</v>
      </c>
      <c r="I671" s="3">
        <v>0.1</v>
      </c>
      <c r="J671" t="s">
        <v>16</v>
      </c>
      <c r="K671" t="s">
        <v>40</v>
      </c>
      <c r="L671" t="s">
        <v>33</v>
      </c>
      <c r="M671">
        <v>14350.91</v>
      </c>
      <c r="N671" t="str">
        <f t="shared" si="21"/>
        <v>Medium</v>
      </c>
    </row>
    <row r="672" spans="1:14" x14ac:dyDescent="0.3">
      <c r="A672" t="s">
        <v>730</v>
      </c>
      <c r="B672" s="1">
        <v>45439</v>
      </c>
      <c r="C672" s="1" t="str">
        <f t="shared" si="20"/>
        <v>May</v>
      </c>
      <c r="D672" t="s">
        <v>25</v>
      </c>
      <c r="E672" t="s">
        <v>94</v>
      </c>
      <c r="F672" t="s">
        <v>53</v>
      </c>
      <c r="G672">
        <v>5</v>
      </c>
      <c r="H672">
        <v>3047.19</v>
      </c>
      <c r="I672" s="3">
        <v>0.15</v>
      </c>
      <c r="J672" t="s">
        <v>22</v>
      </c>
      <c r="K672" t="s">
        <v>17</v>
      </c>
      <c r="L672" t="s">
        <v>33</v>
      </c>
      <c r="M672">
        <v>12950.56</v>
      </c>
      <c r="N672" t="str">
        <f t="shared" si="21"/>
        <v>Medium</v>
      </c>
    </row>
    <row r="673" spans="1:14" x14ac:dyDescent="0.3">
      <c r="A673" t="s">
        <v>731</v>
      </c>
      <c r="B673" s="1">
        <v>45436</v>
      </c>
      <c r="C673" s="1" t="str">
        <f t="shared" si="20"/>
        <v>May</v>
      </c>
      <c r="D673" t="s">
        <v>38</v>
      </c>
      <c r="E673" t="s">
        <v>164</v>
      </c>
      <c r="F673" t="s">
        <v>44</v>
      </c>
      <c r="G673">
        <v>3</v>
      </c>
      <c r="H673">
        <v>2307.48</v>
      </c>
      <c r="I673" s="3">
        <v>0.05</v>
      </c>
      <c r="J673" t="s">
        <v>22</v>
      </c>
      <c r="K673" t="s">
        <v>29</v>
      </c>
      <c r="L673" t="s">
        <v>18</v>
      </c>
      <c r="M673">
        <v>6576.32</v>
      </c>
      <c r="N673" t="str">
        <f t="shared" si="21"/>
        <v>Low</v>
      </c>
    </row>
    <row r="674" spans="1:14" x14ac:dyDescent="0.3">
      <c r="A674" t="s">
        <v>732</v>
      </c>
      <c r="B674" s="1">
        <v>45447</v>
      </c>
      <c r="C674" s="1" t="str">
        <f t="shared" si="20"/>
        <v>June</v>
      </c>
      <c r="D674" t="s">
        <v>25</v>
      </c>
      <c r="E674" t="s">
        <v>46</v>
      </c>
      <c r="F674" t="s">
        <v>27</v>
      </c>
      <c r="G674">
        <v>4</v>
      </c>
      <c r="H674">
        <v>672.14</v>
      </c>
      <c r="I674" s="3">
        <v>0.1</v>
      </c>
      <c r="J674" t="s">
        <v>16</v>
      </c>
      <c r="K674" t="s">
        <v>23</v>
      </c>
      <c r="L674" t="s">
        <v>18</v>
      </c>
      <c r="M674">
        <v>2419.6999999999998</v>
      </c>
      <c r="N674" t="str">
        <f t="shared" si="21"/>
        <v>Low</v>
      </c>
    </row>
    <row r="675" spans="1:14" x14ac:dyDescent="0.3">
      <c r="A675" t="s">
        <v>733</v>
      </c>
      <c r="B675" s="1">
        <v>45362</v>
      </c>
      <c r="C675" s="1" t="str">
        <f t="shared" si="20"/>
        <v>March</v>
      </c>
      <c r="D675" t="s">
        <v>25</v>
      </c>
      <c r="E675" t="s">
        <v>46</v>
      </c>
      <c r="F675" t="s">
        <v>53</v>
      </c>
      <c r="G675">
        <v>1</v>
      </c>
      <c r="H675">
        <v>5636.74</v>
      </c>
      <c r="I675" s="3">
        <v>0</v>
      </c>
      <c r="J675" t="s">
        <v>28</v>
      </c>
      <c r="K675" t="s">
        <v>17</v>
      </c>
      <c r="L675" t="s">
        <v>18</v>
      </c>
      <c r="M675">
        <v>5636.74</v>
      </c>
      <c r="N675" t="str">
        <f t="shared" si="21"/>
        <v>Low</v>
      </c>
    </row>
    <row r="676" spans="1:14" x14ac:dyDescent="0.3">
      <c r="A676" t="s">
        <v>734</v>
      </c>
      <c r="B676" s="1">
        <v>45478</v>
      </c>
      <c r="C676" s="1" t="str">
        <f t="shared" si="20"/>
        <v>July</v>
      </c>
      <c r="D676" t="s">
        <v>38</v>
      </c>
      <c r="E676" t="s">
        <v>42</v>
      </c>
      <c r="F676" t="s">
        <v>53</v>
      </c>
      <c r="G676">
        <v>2</v>
      </c>
      <c r="H676">
        <v>1143.6300000000001</v>
      </c>
      <c r="I676" s="3">
        <v>0</v>
      </c>
      <c r="J676" t="s">
        <v>28</v>
      </c>
      <c r="K676" t="s">
        <v>17</v>
      </c>
      <c r="L676" t="s">
        <v>33</v>
      </c>
      <c r="M676">
        <v>2287.2600000000002</v>
      </c>
      <c r="N676" t="str">
        <f t="shared" si="21"/>
        <v>Low</v>
      </c>
    </row>
    <row r="677" spans="1:14" x14ac:dyDescent="0.3">
      <c r="A677" t="s">
        <v>735</v>
      </c>
      <c r="B677" s="1">
        <v>45489</v>
      </c>
      <c r="C677" s="1" t="str">
        <f t="shared" si="20"/>
        <v>July</v>
      </c>
      <c r="D677" t="s">
        <v>38</v>
      </c>
      <c r="E677" t="s">
        <v>39</v>
      </c>
      <c r="F677" t="s">
        <v>1160</v>
      </c>
      <c r="G677">
        <v>6</v>
      </c>
      <c r="H677">
        <v>5273.58</v>
      </c>
      <c r="I677" s="3">
        <v>0.05</v>
      </c>
      <c r="J677" t="s">
        <v>16</v>
      </c>
      <c r="K677" t="s">
        <v>49</v>
      </c>
      <c r="L677" t="s">
        <v>33</v>
      </c>
      <c r="M677">
        <v>30059.41</v>
      </c>
      <c r="N677" t="str">
        <f t="shared" si="21"/>
        <v>High</v>
      </c>
    </row>
    <row r="678" spans="1:14" x14ac:dyDescent="0.3">
      <c r="A678" t="s">
        <v>736</v>
      </c>
      <c r="B678" s="1">
        <v>45434</v>
      </c>
      <c r="C678" s="1" t="str">
        <f t="shared" si="20"/>
        <v>May</v>
      </c>
      <c r="D678" t="s">
        <v>25</v>
      </c>
      <c r="E678" t="s">
        <v>94</v>
      </c>
      <c r="F678" t="s">
        <v>27</v>
      </c>
      <c r="G678">
        <v>2</v>
      </c>
      <c r="H678">
        <v>4202.76</v>
      </c>
      <c r="I678" s="3">
        <v>0.1</v>
      </c>
      <c r="J678" t="s">
        <v>55</v>
      </c>
      <c r="K678" t="s">
        <v>23</v>
      </c>
      <c r="L678" t="s">
        <v>18</v>
      </c>
      <c r="M678">
        <v>7564.97</v>
      </c>
      <c r="N678" t="str">
        <f t="shared" si="21"/>
        <v>Low</v>
      </c>
    </row>
    <row r="679" spans="1:14" x14ac:dyDescent="0.3">
      <c r="A679" t="s">
        <v>737</v>
      </c>
      <c r="B679" s="1">
        <v>45295</v>
      </c>
      <c r="C679" s="1" t="str">
        <f t="shared" si="20"/>
        <v>January</v>
      </c>
      <c r="D679" t="s">
        <v>38</v>
      </c>
      <c r="E679" t="s">
        <v>51</v>
      </c>
      <c r="F679" t="s">
        <v>44</v>
      </c>
      <c r="G679">
        <v>5</v>
      </c>
      <c r="H679">
        <v>216.55</v>
      </c>
      <c r="I679" s="3">
        <v>0</v>
      </c>
      <c r="J679" t="s">
        <v>22</v>
      </c>
      <c r="K679" t="s">
        <v>23</v>
      </c>
      <c r="L679" t="s">
        <v>33</v>
      </c>
      <c r="M679">
        <v>1082.75</v>
      </c>
      <c r="N679" t="str">
        <f t="shared" si="21"/>
        <v>Low</v>
      </c>
    </row>
    <row r="680" spans="1:14" x14ac:dyDescent="0.3">
      <c r="A680" t="s">
        <v>738</v>
      </c>
      <c r="B680" s="1">
        <v>45451</v>
      </c>
      <c r="C680" s="1" t="str">
        <f t="shared" si="20"/>
        <v>June</v>
      </c>
      <c r="D680" t="s">
        <v>13</v>
      </c>
      <c r="E680" t="s">
        <v>74</v>
      </c>
      <c r="F680" t="s">
        <v>1160</v>
      </c>
      <c r="G680">
        <v>3</v>
      </c>
      <c r="H680">
        <v>4351.16</v>
      </c>
      <c r="I680" s="3">
        <v>0.15</v>
      </c>
      <c r="J680" t="s">
        <v>16</v>
      </c>
      <c r="K680" t="s">
        <v>40</v>
      </c>
      <c r="L680" t="s">
        <v>33</v>
      </c>
      <c r="M680">
        <v>11095.46</v>
      </c>
      <c r="N680" t="str">
        <f t="shared" si="21"/>
        <v>Medium</v>
      </c>
    </row>
    <row r="681" spans="1:14" x14ac:dyDescent="0.3">
      <c r="A681" t="s">
        <v>739</v>
      </c>
      <c r="B681" s="1">
        <v>45516</v>
      </c>
      <c r="C681" s="1" t="str">
        <f t="shared" si="20"/>
        <v>August</v>
      </c>
      <c r="D681" t="s">
        <v>20</v>
      </c>
      <c r="E681" t="s">
        <v>78</v>
      </c>
      <c r="F681" t="s">
        <v>15</v>
      </c>
      <c r="G681">
        <v>3</v>
      </c>
      <c r="H681">
        <v>2993.34</v>
      </c>
      <c r="I681" s="3">
        <v>0.2</v>
      </c>
      <c r="J681" t="s">
        <v>55</v>
      </c>
      <c r="K681" t="s">
        <v>40</v>
      </c>
      <c r="L681" t="s">
        <v>18</v>
      </c>
      <c r="M681">
        <v>7184.02</v>
      </c>
      <c r="N681" t="str">
        <f t="shared" si="21"/>
        <v>Low</v>
      </c>
    </row>
    <row r="682" spans="1:14" x14ac:dyDescent="0.3">
      <c r="A682" t="s">
        <v>740</v>
      </c>
      <c r="B682" s="1">
        <v>45382</v>
      </c>
      <c r="C682" s="1" t="str">
        <f t="shared" si="20"/>
        <v>March</v>
      </c>
      <c r="D682" t="s">
        <v>20</v>
      </c>
      <c r="E682" t="s">
        <v>59</v>
      </c>
      <c r="F682" t="s">
        <v>80</v>
      </c>
      <c r="G682">
        <v>6</v>
      </c>
      <c r="H682">
        <v>3887.97</v>
      </c>
      <c r="I682" s="3">
        <v>0.05</v>
      </c>
      <c r="J682" t="s">
        <v>22</v>
      </c>
      <c r="K682" t="s">
        <v>29</v>
      </c>
      <c r="L682" t="s">
        <v>33</v>
      </c>
      <c r="M682">
        <v>22161.43</v>
      </c>
      <c r="N682" t="str">
        <f t="shared" si="21"/>
        <v>High</v>
      </c>
    </row>
    <row r="683" spans="1:14" x14ac:dyDescent="0.3">
      <c r="A683" t="s">
        <v>741</v>
      </c>
      <c r="B683" s="1">
        <v>45427</v>
      </c>
      <c r="C683" s="1" t="str">
        <f t="shared" si="20"/>
        <v>May</v>
      </c>
      <c r="D683" t="s">
        <v>35</v>
      </c>
      <c r="E683" t="s">
        <v>63</v>
      </c>
      <c r="F683" t="s">
        <v>27</v>
      </c>
      <c r="G683">
        <v>2</v>
      </c>
      <c r="H683">
        <v>5616.65</v>
      </c>
      <c r="I683" s="3">
        <v>0.05</v>
      </c>
      <c r="J683" t="s">
        <v>16</v>
      </c>
      <c r="K683" t="s">
        <v>29</v>
      </c>
      <c r="L683" t="s">
        <v>33</v>
      </c>
      <c r="M683">
        <v>10671.63</v>
      </c>
      <c r="N683" t="str">
        <f t="shared" si="21"/>
        <v>Medium</v>
      </c>
    </row>
    <row r="684" spans="1:14" x14ac:dyDescent="0.3">
      <c r="A684" t="s">
        <v>742</v>
      </c>
      <c r="B684" s="1">
        <v>45408</v>
      </c>
      <c r="C684" s="1" t="str">
        <f t="shared" si="20"/>
        <v>April</v>
      </c>
      <c r="D684" t="s">
        <v>20</v>
      </c>
      <c r="E684" t="s">
        <v>57</v>
      </c>
      <c r="F684" t="s">
        <v>53</v>
      </c>
      <c r="G684">
        <v>6</v>
      </c>
      <c r="H684">
        <v>6327.5</v>
      </c>
      <c r="I684" s="3">
        <v>0.05</v>
      </c>
      <c r="J684" t="s">
        <v>16</v>
      </c>
      <c r="K684" t="s">
        <v>23</v>
      </c>
      <c r="L684" t="s">
        <v>33</v>
      </c>
      <c r="M684">
        <v>36066.75</v>
      </c>
      <c r="N684" t="str">
        <f t="shared" si="21"/>
        <v>High</v>
      </c>
    </row>
    <row r="685" spans="1:14" x14ac:dyDescent="0.3">
      <c r="A685" t="s">
        <v>743</v>
      </c>
      <c r="B685" s="1">
        <v>45438</v>
      </c>
      <c r="C685" s="1" t="str">
        <f t="shared" si="20"/>
        <v>May</v>
      </c>
      <c r="D685" t="s">
        <v>20</v>
      </c>
      <c r="E685" t="s">
        <v>21</v>
      </c>
      <c r="F685" t="s">
        <v>53</v>
      </c>
      <c r="G685">
        <v>2</v>
      </c>
      <c r="H685">
        <v>7771.28</v>
      </c>
      <c r="I685" s="3">
        <v>0.05</v>
      </c>
      <c r="J685" t="s">
        <v>22</v>
      </c>
      <c r="K685" t="s">
        <v>40</v>
      </c>
      <c r="L685" t="s">
        <v>33</v>
      </c>
      <c r="M685">
        <v>14765.43</v>
      </c>
      <c r="N685" t="str">
        <f t="shared" si="21"/>
        <v>Medium</v>
      </c>
    </row>
    <row r="686" spans="1:14" x14ac:dyDescent="0.3">
      <c r="A686" t="s">
        <v>744</v>
      </c>
      <c r="B686" s="1">
        <v>45342</v>
      </c>
      <c r="C686" s="1" t="str">
        <f t="shared" si="20"/>
        <v>February</v>
      </c>
      <c r="D686" t="s">
        <v>13</v>
      </c>
      <c r="E686" t="s">
        <v>76</v>
      </c>
      <c r="F686" t="s">
        <v>32</v>
      </c>
      <c r="G686">
        <v>5</v>
      </c>
      <c r="H686">
        <v>5827.23</v>
      </c>
      <c r="I686" s="3">
        <v>0.1</v>
      </c>
      <c r="J686" t="s">
        <v>55</v>
      </c>
      <c r="K686" t="s">
        <v>23</v>
      </c>
      <c r="L686" t="s">
        <v>33</v>
      </c>
      <c r="M686">
        <v>26222.53</v>
      </c>
      <c r="N686" t="str">
        <f t="shared" si="21"/>
        <v>High</v>
      </c>
    </row>
    <row r="687" spans="1:14" x14ac:dyDescent="0.3">
      <c r="A687" t="s">
        <v>745</v>
      </c>
      <c r="B687" s="1">
        <v>45423</v>
      </c>
      <c r="C687" s="1" t="str">
        <f t="shared" si="20"/>
        <v>May</v>
      </c>
      <c r="D687" t="s">
        <v>35</v>
      </c>
      <c r="E687" t="s">
        <v>36</v>
      </c>
      <c r="F687" t="s">
        <v>44</v>
      </c>
      <c r="G687">
        <v>2</v>
      </c>
      <c r="H687">
        <v>6152.18</v>
      </c>
      <c r="I687" s="3">
        <v>0</v>
      </c>
      <c r="J687" t="s">
        <v>16</v>
      </c>
      <c r="K687" t="s">
        <v>23</v>
      </c>
      <c r="L687" t="s">
        <v>33</v>
      </c>
      <c r="M687">
        <v>12304.36</v>
      </c>
      <c r="N687" t="str">
        <f t="shared" si="21"/>
        <v>Medium</v>
      </c>
    </row>
    <row r="688" spans="1:14" x14ac:dyDescent="0.3">
      <c r="A688" t="s">
        <v>746</v>
      </c>
      <c r="B688" s="1">
        <v>45624</v>
      </c>
      <c r="C688" s="1" t="str">
        <f t="shared" si="20"/>
        <v>November</v>
      </c>
      <c r="D688" t="s">
        <v>25</v>
      </c>
      <c r="E688" t="s">
        <v>26</v>
      </c>
      <c r="F688" t="s">
        <v>15</v>
      </c>
      <c r="G688">
        <v>6</v>
      </c>
      <c r="H688">
        <v>4198.07</v>
      </c>
      <c r="I688" s="3">
        <v>0.25</v>
      </c>
      <c r="J688" t="s">
        <v>16</v>
      </c>
      <c r="K688" t="s">
        <v>40</v>
      </c>
      <c r="L688" t="s">
        <v>33</v>
      </c>
      <c r="M688">
        <v>18891.310000000001</v>
      </c>
      <c r="N688" t="str">
        <f t="shared" si="21"/>
        <v>Medium</v>
      </c>
    </row>
    <row r="689" spans="1:14" x14ac:dyDescent="0.3">
      <c r="A689" t="s">
        <v>747</v>
      </c>
      <c r="B689" s="1">
        <v>45406</v>
      </c>
      <c r="C689" s="1" t="str">
        <f t="shared" si="20"/>
        <v>April</v>
      </c>
      <c r="D689" t="s">
        <v>13</v>
      </c>
      <c r="E689" t="s">
        <v>14</v>
      </c>
      <c r="F689" t="s">
        <v>44</v>
      </c>
      <c r="G689">
        <v>5</v>
      </c>
      <c r="H689">
        <v>1135.1300000000001</v>
      </c>
      <c r="I689" s="3">
        <v>0.1</v>
      </c>
      <c r="J689" t="s">
        <v>22</v>
      </c>
      <c r="K689" t="s">
        <v>49</v>
      </c>
      <c r="L689" t="s">
        <v>33</v>
      </c>
      <c r="M689">
        <v>5108.09</v>
      </c>
      <c r="N689" t="str">
        <f t="shared" si="21"/>
        <v>Low</v>
      </c>
    </row>
    <row r="690" spans="1:14" x14ac:dyDescent="0.3">
      <c r="A690" t="s">
        <v>748</v>
      </c>
      <c r="B690" s="1">
        <v>45307</v>
      </c>
      <c r="C690" s="1" t="str">
        <f t="shared" si="20"/>
        <v>January</v>
      </c>
      <c r="D690" t="s">
        <v>35</v>
      </c>
      <c r="E690" t="s">
        <v>97</v>
      </c>
      <c r="F690" t="s">
        <v>53</v>
      </c>
      <c r="G690">
        <v>5</v>
      </c>
      <c r="H690">
        <v>1584.69</v>
      </c>
      <c r="I690" s="3">
        <v>0.1</v>
      </c>
      <c r="J690" t="s">
        <v>22</v>
      </c>
      <c r="K690" t="s">
        <v>23</v>
      </c>
      <c r="L690" t="s">
        <v>33</v>
      </c>
      <c r="M690">
        <v>7131.11</v>
      </c>
      <c r="N690" t="str">
        <f t="shared" si="21"/>
        <v>Low</v>
      </c>
    </row>
    <row r="691" spans="1:14" x14ac:dyDescent="0.3">
      <c r="A691" t="s">
        <v>749</v>
      </c>
      <c r="B691" s="1">
        <v>45653</v>
      </c>
      <c r="C691" s="1" t="str">
        <f t="shared" si="20"/>
        <v>December</v>
      </c>
      <c r="D691" t="s">
        <v>20</v>
      </c>
      <c r="E691" t="s">
        <v>21</v>
      </c>
      <c r="F691" t="s">
        <v>27</v>
      </c>
      <c r="G691">
        <v>6</v>
      </c>
      <c r="H691">
        <v>6196.36</v>
      </c>
      <c r="I691" s="3">
        <v>0.1</v>
      </c>
      <c r="J691" t="s">
        <v>55</v>
      </c>
      <c r="K691" t="s">
        <v>29</v>
      </c>
      <c r="L691" t="s">
        <v>18</v>
      </c>
      <c r="M691">
        <v>33460.339999999997</v>
      </c>
      <c r="N691" t="str">
        <f t="shared" si="21"/>
        <v>High</v>
      </c>
    </row>
    <row r="692" spans="1:14" x14ac:dyDescent="0.3">
      <c r="A692" t="s">
        <v>750</v>
      </c>
      <c r="B692" s="1">
        <v>45436</v>
      </c>
      <c r="C692" s="1" t="str">
        <f t="shared" si="20"/>
        <v>May</v>
      </c>
      <c r="D692" t="s">
        <v>35</v>
      </c>
      <c r="E692" t="s">
        <v>97</v>
      </c>
      <c r="F692" t="s">
        <v>53</v>
      </c>
      <c r="G692">
        <v>4</v>
      </c>
      <c r="H692">
        <v>5825.06</v>
      </c>
      <c r="I692" s="3">
        <v>0</v>
      </c>
      <c r="J692" t="s">
        <v>16</v>
      </c>
      <c r="K692" t="s">
        <v>49</v>
      </c>
      <c r="L692" t="s">
        <v>33</v>
      </c>
      <c r="M692">
        <v>23300.240000000002</v>
      </c>
      <c r="N692" t="str">
        <f t="shared" si="21"/>
        <v>High</v>
      </c>
    </row>
    <row r="693" spans="1:14" x14ac:dyDescent="0.3">
      <c r="A693" t="s">
        <v>751</v>
      </c>
      <c r="B693" s="1">
        <v>45382</v>
      </c>
      <c r="C693" s="1" t="str">
        <f t="shared" si="20"/>
        <v>March</v>
      </c>
      <c r="D693" t="s">
        <v>25</v>
      </c>
      <c r="E693" t="s">
        <v>26</v>
      </c>
      <c r="F693" t="s">
        <v>47</v>
      </c>
      <c r="G693">
        <v>2</v>
      </c>
      <c r="H693">
        <v>7005.48</v>
      </c>
      <c r="I693" s="3">
        <v>0.05</v>
      </c>
      <c r="J693" t="s">
        <v>22</v>
      </c>
      <c r="K693" t="s">
        <v>40</v>
      </c>
      <c r="L693" t="s">
        <v>18</v>
      </c>
      <c r="M693">
        <v>13310.41</v>
      </c>
      <c r="N693" t="str">
        <f t="shared" si="21"/>
        <v>Medium</v>
      </c>
    </row>
    <row r="694" spans="1:14" x14ac:dyDescent="0.3">
      <c r="A694" t="s">
        <v>752</v>
      </c>
      <c r="B694" s="1">
        <v>45351</v>
      </c>
      <c r="C694" s="1" t="str">
        <f t="shared" si="20"/>
        <v>February</v>
      </c>
      <c r="D694" t="s">
        <v>38</v>
      </c>
      <c r="E694" t="s">
        <v>42</v>
      </c>
      <c r="F694" t="s">
        <v>32</v>
      </c>
      <c r="G694">
        <v>2</v>
      </c>
      <c r="H694">
        <v>7476.44</v>
      </c>
      <c r="I694" s="3">
        <v>0.05</v>
      </c>
      <c r="J694" t="s">
        <v>16</v>
      </c>
      <c r="K694" t="s">
        <v>49</v>
      </c>
      <c r="L694" t="s">
        <v>18</v>
      </c>
      <c r="M694">
        <v>14205.24</v>
      </c>
      <c r="N694" t="str">
        <f t="shared" si="21"/>
        <v>Medium</v>
      </c>
    </row>
    <row r="695" spans="1:14" x14ac:dyDescent="0.3">
      <c r="A695" t="s">
        <v>753</v>
      </c>
      <c r="B695" s="1">
        <v>45312</v>
      </c>
      <c r="C695" s="1" t="str">
        <f t="shared" si="20"/>
        <v>January</v>
      </c>
      <c r="D695" t="s">
        <v>20</v>
      </c>
      <c r="E695" t="s">
        <v>61</v>
      </c>
      <c r="F695" t="s">
        <v>15</v>
      </c>
      <c r="G695">
        <v>1</v>
      </c>
      <c r="H695">
        <v>4696.42</v>
      </c>
      <c r="I695" s="3">
        <v>0.15</v>
      </c>
      <c r="J695" t="s">
        <v>16</v>
      </c>
      <c r="K695" t="s">
        <v>40</v>
      </c>
      <c r="L695" t="s">
        <v>33</v>
      </c>
      <c r="M695">
        <v>3991.96</v>
      </c>
      <c r="N695" t="str">
        <f t="shared" si="21"/>
        <v>Low</v>
      </c>
    </row>
    <row r="696" spans="1:14" x14ac:dyDescent="0.3">
      <c r="A696" t="s">
        <v>754</v>
      </c>
      <c r="B696" s="1">
        <v>45421</v>
      </c>
      <c r="C696" s="1" t="str">
        <f t="shared" si="20"/>
        <v>May</v>
      </c>
      <c r="D696" t="s">
        <v>35</v>
      </c>
      <c r="E696" t="s">
        <v>63</v>
      </c>
      <c r="F696" t="s">
        <v>80</v>
      </c>
      <c r="G696">
        <v>6</v>
      </c>
      <c r="H696">
        <v>343.63</v>
      </c>
      <c r="I696" s="3">
        <v>0.25</v>
      </c>
      <c r="J696" t="s">
        <v>16</v>
      </c>
      <c r="K696" t="s">
        <v>17</v>
      </c>
      <c r="L696" t="s">
        <v>18</v>
      </c>
      <c r="M696">
        <v>1546.33</v>
      </c>
      <c r="N696" t="str">
        <f t="shared" si="21"/>
        <v>Low</v>
      </c>
    </row>
    <row r="697" spans="1:14" x14ac:dyDescent="0.3">
      <c r="A697" t="s">
        <v>755</v>
      </c>
      <c r="B697" s="1">
        <v>45496</v>
      </c>
      <c r="C697" s="1" t="str">
        <f t="shared" si="20"/>
        <v>July</v>
      </c>
      <c r="D697" t="s">
        <v>38</v>
      </c>
      <c r="E697" t="s">
        <v>164</v>
      </c>
      <c r="F697" t="s">
        <v>53</v>
      </c>
      <c r="G697">
        <v>5</v>
      </c>
      <c r="H697">
        <v>4667.88</v>
      </c>
      <c r="I697" s="3">
        <v>0.1</v>
      </c>
      <c r="J697" t="s">
        <v>55</v>
      </c>
      <c r="K697" t="s">
        <v>49</v>
      </c>
      <c r="L697" t="s">
        <v>33</v>
      </c>
      <c r="M697">
        <v>21005.46</v>
      </c>
      <c r="N697" t="str">
        <f t="shared" si="21"/>
        <v>High</v>
      </c>
    </row>
    <row r="698" spans="1:14" x14ac:dyDescent="0.3">
      <c r="A698" t="s">
        <v>756</v>
      </c>
      <c r="B698" s="1">
        <v>45381</v>
      </c>
      <c r="C698" s="1" t="str">
        <f t="shared" si="20"/>
        <v>March</v>
      </c>
      <c r="D698" t="s">
        <v>35</v>
      </c>
      <c r="E698" t="s">
        <v>36</v>
      </c>
      <c r="F698" t="s">
        <v>1160</v>
      </c>
      <c r="G698">
        <v>3</v>
      </c>
      <c r="H698">
        <v>2914.01</v>
      </c>
      <c r="I698" s="3">
        <v>0</v>
      </c>
      <c r="J698" t="s">
        <v>16</v>
      </c>
      <c r="K698" t="s">
        <v>49</v>
      </c>
      <c r="L698" t="s">
        <v>18</v>
      </c>
      <c r="M698">
        <v>8742.0300000000007</v>
      </c>
      <c r="N698" t="str">
        <f t="shared" si="21"/>
        <v>Low</v>
      </c>
    </row>
    <row r="699" spans="1:14" x14ac:dyDescent="0.3">
      <c r="A699" t="s">
        <v>757</v>
      </c>
      <c r="B699" s="1">
        <v>45309</v>
      </c>
      <c r="C699" s="1" t="str">
        <f t="shared" si="20"/>
        <v>January</v>
      </c>
      <c r="D699" t="s">
        <v>25</v>
      </c>
      <c r="E699" t="s">
        <v>87</v>
      </c>
      <c r="F699" t="s">
        <v>32</v>
      </c>
      <c r="G699">
        <v>2</v>
      </c>
      <c r="H699">
        <v>6279.65</v>
      </c>
      <c r="I699" s="3">
        <v>0.15</v>
      </c>
      <c r="J699" t="s">
        <v>16</v>
      </c>
      <c r="K699" t="s">
        <v>17</v>
      </c>
      <c r="L699" t="s">
        <v>33</v>
      </c>
      <c r="M699">
        <v>10675.4</v>
      </c>
      <c r="N699" t="str">
        <f t="shared" si="21"/>
        <v>Medium</v>
      </c>
    </row>
    <row r="700" spans="1:14" x14ac:dyDescent="0.3">
      <c r="A700" t="s">
        <v>758</v>
      </c>
      <c r="B700" s="1">
        <v>45421</v>
      </c>
      <c r="C700" s="1" t="str">
        <f t="shared" si="20"/>
        <v>May</v>
      </c>
      <c r="D700" t="s">
        <v>25</v>
      </c>
      <c r="E700" t="s">
        <v>46</v>
      </c>
      <c r="F700" t="s">
        <v>1160</v>
      </c>
      <c r="G700">
        <v>2</v>
      </c>
      <c r="H700">
        <v>6584.93</v>
      </c>
      <c r="I700" s="3">
        <v>0.25</v>
      </c>
      <c r="J700" t="s">
        <v>55</v>
      </c>
      <c r="K700" t="s">
        <v>23</v>
      </c>
      <c r="L700" t="s">
        <v>33</v>
      </c>
      <c r="M700">
        <v>9877.4</v>
      </c>
      <c r="N700" t="str">
        <f t="shared" si="21"/>
        <v>Low</v>
      </c>
    </row>
    <row r="701" spans="1:14" x14ac:dyDescent="0.3">
      <c r="A701" t="s">
        <v>759</v>
      </c>
      <c r="B701" s="1">
        <v>45580</v>
      </c>
      <c r="C701" s="1" t="str">
        <f t="shared" si="20"/>
        <v>October</v>
      </c>
      <c r="D701" t="s">
        <v>13</v>
      </c>
      <c r="E701" t="s">
        <v>70</v>
      </c>
      <c r="F701" t="s">
        <v>44</v>
      </c>
      <c r="G701">
        <v>6</v>
      </c>
      <c r="H701">
        <v>7199.09</v>
      </c>
      <c r="I701" s="3">
        <v>0.25</v>
      </c>
      <c r="J701" t="s">
        <v>55</v>
      </c>
      <c r="K701" t="s">
        <v>40</v>
      </c>
      <c r="L701" t="s">
        <v>33</v>
      </c>
      <c r="M701">
        <v>32395.9</v>
      </c>
      <c r="N701" t="str">
        <f t="shared" si="21"/>
        <v>High</v>
      </c>
    </row>
    <row r="702" spans="1:14" x14ac:dyDescent="0.3">
      <c r="A702" t="s">
        <v>760</v>
      </c>
      <c r="B702" s="1">
        <v>45569</v>
      </c>
      <c r="C702" s="1" t="str">
        <f t="shared" si="20"/>
        <v>October</v>
      </c>
      <c r="D702" t="s">
        <v>13</v>
      </c>
      <c r="E702" t="s">
        <v>108</v>
      </c>
      <c r="F702" t="s">
        <v>15</v>
      </c>
      <c r="G702">
        <v>2</v>
      </c>
      <c r="H702">
        <v>7861.73</v>
      </c>
      <c r="I702" s="3">
        <v>0.15</v>
      </c>
      <c r="J702" t="s">
        <v>55</v>
      </c>
      <c r="K702" t="s">
        <v>23</v>
      </c>
      <c r="L702" t="s">
        <v>33</v>
      </c>
      <c r="M702">
        <v>13364.94</v>
      </c>
      <c r="N702" t="str">
        <f t="shared" si="21"/>
        <v>Medium</v>
      </c>
    </row>
    <row r="703" spans="1:14" x14ac:dyDescent="0.3">
      <c r="A703" t="s">
        <v>761</v>
      </c>
      <c r="B703" s="1">
        <v>45647</v>
      </c>
      <c r="C703" s="1" t="str">
        <f t="shared" si="20"/>
        <v>December</v>
      </c>
      <c r="D703" t="s">
        <v>13</v>
      </c>
      <c r="E703" t="s">
        <v>74</v>
      </c>
      <c r="F703" t="s">
        <v>80</v>
      </c>
      <c r="G703">
        <v>1</v>
      </c>
      <c r="H703">
        <v>4458.45</v>
      </c>
      <c r="I703" s="3">
        <v>0.05</v>
      </c>
      <c r="J703" t="s">
        <v>28</v>
      </c>
      <c r="K703" t="s">
        <v>17</v>
      </c>
      <c r="L703" t="s">
        <v>33</v>
      </c>
      <c r="M703">
        <v>4235.53</v>
      </c>
      <c r="N703" t="str">
        <f t="shared" si="21"/>
        <v>Low</v>
      </c>
    </row>
    <row r="704" spans="1:14" x14ac:dyDescent="0.3">
      <c r="A704" t="s">
        <v>762</v>
      </c>
      <c r="B704" s="1">
        <v>45602</v>
      </c>
      <c r="C704" s="1" t="str">
        <f t="shared" si="20"/>
        <v>November</v>
      </c>
      <c r="D704" t="s">
        <v>38</v>
      </c>
      <c r="E704" t="s">
        <v>100</v>
      </c>
      <c r="F704" t="s">
        <v>32</v>
      </c>
      <c r="G704">
        <v>3</v>
      </c>
      <c r="H704">
        <v>1942.27</v>
      </c>
      <c r="I704" s="3">
        <v>0.1</v>
      </c>
      <c r="J704" t="s">
        <v>16</v>
      </c>
      <c r="K704" t="s">
        <v>49</v>
      </c>
      <c r="L704" t="s">
        <v>18</v>
      </c>
      <c r="M704">
        <v>5244.13</v>
      </c>
      <c r="N704" t="str">
        <f t="shared" si="21"/>
        <v>Low</v>
      </c>
    </row>
    <row r="705" spans="1:14" x14ac:dyDescent="0.3">
      <c r="A705" t="s">
        <v>763</v>
      </c>
      <c r="B705" s="1">
        <v>45297</v>
      </c>
      <c r="C705" s="1" t="str">
        <f t="shared" si="20"/>
        <v>January</v>
      </c>
      <c r="D705" t="s">
        <v>38</v>
      </c>
      <c r="E705" t="s">
        <v>39</v>
      </c>
      <c r="F705" t="s">
        <v>80</v>
      </c>
      <c r="G705">
        <v>6</v>
      </c>
      <c r="H705">
        <v>2911.32</v>
      </c>
      <c r="I705" s="3">
        <v>0.25</v>
      </c>
      <c r="J705" t="s">
        <v>16</v>
      </c>
      <c r="K705" t="s">
        <v>23</v>
      </c>
      <c r="L705" t="s">
        <v>33</v>
      </c>
      <c r="M705">
        <v>13100.94</v>
      </c>
      <c r="N705" t="str">
        <f t="shared" si="21"/>
        <v>Medium</v>
      </c>
    </row>
    <row r="706" spans="1:14" x14ac:dyDescent="0.3">
      <c r="A706" t="s">
        <v>764</v>
      </c>
      <c r="B706" s="1">
        <v>45352</v>
      </c>
      <c r="C706" s="1" t="str">
        <f t="shared" ref="C706:C769" si="22">TEXT(B706,"mmmm")</f>
        <v>March</v>
      </c>
      <c r="D706" t="s">
        <v>38</v>
      </c>
      <c r="E706" t="s">
        <v>100</v>
      </c>
      <c r="F706" t="s">
        <v>44</v>
      </c>
      <c r="G706">
        <v>4</v>
      </c>
      <c r="H706">
        <v>1914.53</v>
      </c>
      <c r="I706" s="3">
        <v>0</v>
      </c>
      <c r="J706" t="s">
        <v>22</v>
      </c>
      <c r="K706" t="s">
        <v>17</v>
      </c>
      <c r="L706" t="s">
        <v>33</v>
      </c>
      <c r="M706">
        <v>7658.12</v>
      </c>
      <c r="N706" t="str">
        <f t="shared" ref="N706:N769" si="23">IF(M706&gt;20000,"High",IF(M706&gt;10000,"Medium","Low"))</f>
        <v>Low</v>
      </c>
    </row>
    <row r="707" spans="1:14" x14ac:dyDescent="0.3">
      <c r="A707" t="s">
        <v>765</v>
      </c>
      <c r="B707" s="1">
        <v>45557</v>
      </c>
      <c r="C707" s="1" t="str">
        <f t="shared" si="22"/>
        <v>September</v>
      </c>
      <c r="D707" t="s">
        <v>35</v>
      </c>
      <c r="E707" t="s">
        <v>68</v>
      </c>
      <c r="F707" t="s">
        <v>80</v>
      </c>
      <c r="G707">
        <v>5</v>
      </c>
      <c r="H707">
        <v>1467.25</v>
      </c>
      <c r="I707" s="3">
        <v>0</v>
      </c>
      <c r="J707" t="s">
        <v>55</v>
      </c>
      <c r="K707" t="s">
        <v>29</v>
      </c>
      <c r="L707" t="s">
        <v>33</v>
      </c>
      <c r="M707">
        <v>7336.25</v>
      </c>
      <c r="N707" t="str">
        <f t="shared" si="23"/>
        <v>Low</v>
      </c>
    </row>
    <row r="708" spans="1:14" x14ac:dyDescent="0.3">
      <c r="A708" t="s">
        <v>766</v>
      </c>
      <c r="B708" s="1">
        <v>45301</v>
      </c>
      <c r="C708" s="1" t="str">
        <f t="shared" si="22"/>
        <v>January</v>
      </c>
      <c r="D708" t="s">
        <v>13</v>
      </c>
      <c r="E708" t="s">
        <v>70</v>
      </c>
      <c r="F708" t="s">
        <v>80</v>
      </c>
      <c r="G708">
        <v>2</v>
      </c>
      <c r="H708">
        <v>840.11</v>
      </c>
      <c r="I708" s="3">
        <v>0.15</v>
      </c>
      <c r="J708" t="s">
        <v>16</v>
      </c>
      <c r="K708" t="s">
        <v>40</v>
      </c>
      <c r="L708" t="s">
        <v>33</v>
      </c>
      <c r="M708">
        <v>1428.19</v>
      </c>
      <c r="N708" t="str">
        <f t="shared" si="23"/>
        <v>Low</v>
      </c>
    </row>
    <row r="709" spans="1:14" x14ac:dyDescent="0.3">
      <c r="A709" t="s">
        <v>767</v>
      </c>
      <c r="B709" s="1">
        <v>45354</v>
      </c>
      <c r="C709" s="1" t="str">
        <f t="shared" si="22"/>
        <v>March</v>
      </c>
      <c r="D709" t="s">
        <v>38</v>
      </c>
      <c r="E709" t="s">
        <v>164</v>
      </c>
      <c r="F709" t="s">
        <v>47</v>
      </c>
      <c r="G709">
        <v>4</v>
      </c>
      <c r="H709">
        <v>2058.29</v>
      </c>
      <c r="I709" s="3">
        <v>0.05</v>
      </c>
      <c r="J709" t="s">
        <v>16</v>
      </c>
      <c r="K709" t="s">
        <v>17</v>
      </c>
      <c r="L709" t="s">
        <v>18</v>
      </c>
      <c r="M709">
        <v>7821.5</v>
      </c>
      <c r="N709" t="str">
        <f t="shared" si="23"/>
        <v>Low</v>
      </c>
    </row>
    <row r="710" spans="1:14" x14ac:dyDescent="0.3">
      <c r="A710" t="s">
        <v>768</v>
      </c>
      <c r="B710" s="1">
        <v>45648</v>
      </c>
      <c r="C710" s="1" t="str">
        <f t="shared" si="22"/>
        <v>December</v>
      </c>
      <c r="D710" t="s">
        <v>20</v>
      </c>
      <c r="E710" t="s">
        <v>78</v>
      </c>
      <c r="F710" t="s">
        <v>1160</v>
      </c>
      <c r="G710">
        <v>3</v>
      </c>
      <c r="H710">
        <v>7823.48</v>
      </c>
      <c r="I710" s="3">
        <v>0.1</v>
      </c>
      <c r="J710" t="s">
        <v>22</v>
      </c>
      <c r="K710" t="s">
        <v>40</v>
      </c>
      <c r="L710" t="s">
        <v>33</v>
      </c>
      <c r="M710">
        <v>21123.4</v>
      </c>
      <c r="N710" t="str">
        <f t="shared" si="23"/>
        <v>High</v>
      </c>
    </row>
    <row r="711" spans="1:14" x14ac:dyDescent="0.3">
      <c r="A711" t="s">
        <v>769</v>
      </c>
      <c r="B711" s="1">
        <v>45346</v>
      </c>
      <c r="C711" s="1" t="str">
        <f t="shared" si="22"/>
        <v>February</v>
      </c>
      <c r="D711" t="s">
        <v>35</v>
      </c>
      <c r="E711" t="s">
        <v>68</v>
      </c>
      <c r="F711" t="s">
        <v>44</v>
      </c>
      <c r="G711">
        <v>2</v>
      </c>
      <c r="H711">
        <v>5000.22</v>
      </c>
      <c r="I711" s="3">
        <v>0.05</v>
      </c>
      <c r="J711" t="s">
        <v>55</v>
      </c>
      <c r="K711" t="s">
        <v>49</v>
      </c>
      <c r="L711" t="s">
        <v>33</v>
      </c>
      <c r="M711">
        <v>9500.42</v>
      </c>
      <c r="N711" t="str">
        <f t="shared" si="23"/>
        <v>Low</v>
      </c>
    </row>
    <row r="712" spans="1:14" x14ac:dyDescent="0.3">
      <c r="A712" t="s">
        <v>770</v>
      </c>
      <c r="B712" s="1">
        <v>45432</v>
      </c>
      <c r="C712" s="1" t="str">
        <f t="shared" si="22"/>
        <v>May</v>
      </c>
      <c r="D712" t="s">
        <v>13</v>
      </c>
      <c r="E712" t="s">
        <v>108</v>
      </c>
      <c r="F712" t="s">
        <v>53</v>
      </c>
      <c r="G712">
        <v>3</v>
      </c>
      <c r="H712">
        <v>650.02</v>
      </c>
      <c r="I712" s="3">
        <v>0</v>
      </c>
      <c r="J712" t="s">
        <v>22</v>
      </c>
      <c r="K712" t="s">
        <v>29</v>
      </c>
      <c r="L712" t="s">
        <v>33</v>
      </c>
      <c r="M712">
        <v>1950.06</v>
      </c>
      <c r="N712" t="str">
        <f t="shared" si="23"/>
        <v>Low</v>
      </c>
    </row>
    <row r="713" spans="1:14" x14ac:dyDescent="0.3">
      <c r="A713" t="s">
        <v>771</v>
      </c>
      <c r="B713" s="1">
        <v>45523</v>
      </c>
      <c r="C713" s="1" t="str">
        <f t="shared" si="22"/>
        <v>August</v>
      </c>
      <c r="D713" t="s">
        <v>20</v>
      </c>
      <c r="E713" t="s">
        <v>21</v>
      </c>
      <c r="F713" t="s">
        <v>27</v>
      </c>
      <c r="G713">
        <v>4</v>
      </c>
      <c r="H713">
        <v>1128.9000000000001</v>
      </c>
      <c r="I713" s="3">
        <v>0</v>
      </c>
      <c r="J713" t="s">
        <v>16</v>
      </c>
      <c r="K713" t="s">
        <v>49</v>
      </c>
      <c r="L713" t="s">
        <v>33</v>
      </c>
      <c r="M713">
        <v>4515.6000000000004</v>
      </c>
      <c r="N713" t="str">
        <f t="shared" si="23"/>
        <v>Low</v>
      </c>
    </row>
    <row r="714" spans="1:14" x14ac:dyDescent="0.3">
      <c r="A714" t="s">
        <v>772</v>
      </c>
      <c r="B714" s="1">
        <v>45409</v>
      </c>
      <c r="C714" s="1" t="str">
        <f t="shared" si="22"/>
        <v>April</v>
      </c>
      <c r="D714" t="s">
        <v>13</v>
      </c>
      <c r="E714" t="s">
        <v>74</v>
      </c>
      <c r="F714" t="s">
        <v>15</v>
      </c>
      <c r="G714">
        <v>3</v>
      </c>
      <c r="H714">
        <v>2788.04</v>
      </c>
      <c r="I714" s="3">
        <v>0</v>
      </c>
      <c r="J714" t="s">
        <v>55</v>
      </c>
      <c r="K714" t="s">
        <v>29</v>
      </c>
      <c r="L714" t="s">
        <v>33</v>
      </c>
      <c r="M714">
        <f>Orders[[#This Row],[Quantity]]*Orders[[#This Row],[UnitPrice]]-Orders[[#This Row],[Discount%]]</f>
        <v>8364.119999999999</v>
      </c>
      <c r="N714" t="str">
        <f t="shared" si="23"/>
        <v>Low</v>
      </c>
    </row>
    <row r="715" spans="1:14" x14ac:dyDescent="0.3">
      <c r="A715" t="s">
        <v>773</v>
      </c>
      <c r="B715" s="1">
        <v>45654</v>
      </c>
      <c r="C715" s="1" t="str">
        <f t="shared" si="22"/>
        <v>December</v>
      </c>
      <c r="D715" t="s">
        <v>13</v>
      </c>
      <c r="E715" t="s">
        <v>74</v>
      </c>
      <c r="F715" t="s">
        <v>53</v>
      </c>
      <c r="G715">
        <v>3</v>
      </c>
      <c r="H715">
        <v>5245.11</v>
      </c>
      <c r="I715" s="3">
        <v>0.05</v>
      </c>
      <c r="J715" t="s">
        <v>55</v>
      </c>
      <c r="K715" t="s">
        <v>49</v>
      </c>
      <c r="L715" t="s">
        <v>33</v>
      </c>
      <c r="M715">
        <v>14948.56</v>
      </c>
      <c r="N715" t="str">
        <f t="shared" si="23"/>
        <v>Medium</v>
      </c>
    </row>
    <row r="716" spans="1:14" x14ac:dyDescent="0.3">
      <c r="A716" t="s">
        <v>774</v>
      </c>
      <c r="B716" s="1">
        <v>45344</v>
      </c>
      <c r="C716" s="1" t="str">
        <f t="shared" si="22"/>
        <v>February</v>
      </c>
      <c r="D716" t="s">
        <v>25</v>
      </c>
      <c r="E716" t="s">
        <v>94</v>
      </c>
      <c r="F716" t="s">
        <v>27</v>
      </c>
      <c r="G716">
        <v>1</v>
      </c>
      <c r="H716">
        <v>6108.48</v>
      </c>
      <c r="I716" s="3">
        <v>0</v>
      </c>
      <c r="J716" t="s">
        <v>55</v>
      </c>
      <c r="K716" t="s">
        <v>23</v>
      </c>
      <c r="L716" t="s">
        <v>33</v>
      </c>
      <c r="M716">
        <v>6108.48</v>
      </c>
      <c r="N716" t="str">
        <f t="shared" si="23"/>
        <v>Low</v>
      </c>
    </row>
    <row r="717" spans="1:14" x14ac:dyDescent="0.3">
      <c r="A717" t="s">
        <v>775</v>
      </c>
      <c r="B717" s="1">
        <v>45561</v>
      </c>
      <c r="C717" s="1" t="str">
        <f t="shared" si="22"/>
        <v>September</v>
      </c>
      <c r="D717" t="s">
        <v>25</v>
      </c>
      <c r="E717" t="s">
        <v>26</v>
      </c>
      <c r="F717" t="s">
        <v>1160</v>
      </c>
      <c r="G717">
        <v>4</v>
      </c>
      <c r="H717">
        <v>178.17</v>
      </c>
      <c r="I717" s="3">
        <v>0</v>
      </c>
      <c r="J717" t="s">
        <v>55</v>
      </c>
      <c r="K717" t="s">
        <v>49</v>
      </c>
      <c r="L717" t="s">
        <v>33</v>
      </c>
      <c r="M717">
        <v>712.68</v>
      </c>
      <c r="N717" t="str">
        <f t="shared" si="23"/>
        <v>Low</v>
      </c>
    </row>
    <row r="718" spans="1:14" x14ac:dyDescent="0.3">
      <c r="A718" t="s">
        <v>776</v>
      </c>
      <c r="B718" s="1">
        <v>45641</v>
      </c>
      <c r="C718" s="1" t="str">
        <f t="shared" si="22"/>
        <v>December</v>
      </c>
      <c r="D718" t="s">
        <v>25</v>
      </c>
      <c r="E718" t="s">
        <v>26</v>
      </c>
      <c r="F718" t="s">
        <v>47</v>
      </c>
      <c r="G718">
        <v>4</v>
      </c>
      <c r="H718">
        <v>1063.95</v>
      </c>
      <c r="I718" s="3">
        <v>0</v>
      </c>
      <c r="J718" t="s">
        <v>16</v>
      </c>
      <c r="K718" t="s">
        <v>17</v>
      </c>
      <c r="L718" t="s">
        <v>18</v>
      </c>
      <c r="M718">
        <v>4255.8</v>
      </c>
      <c r="N718" t="str">
        <f t="shared" si="23"/>
        <v>Low</v>
      </c>
    </row>
    <row r="719" spans="1:14" x14ac:dyDescent="0.3">
      <c r="A719" t="s">
        <v>777</v>
      </c>
      <c r="B719" s="1">
        <v>45456</v>
      </c>
      <c r="C719" s="1" t="str">
        <f t="shared" si="22"/>
        <v>June</v>
      </c>
      <c r="D719" t="s">
        <v>25</v>
      </c>
      <c r="E719" t="s">
        <v>26</v>
      </c>
      <c r="F719" t="s">
        <v>32</v>
      </c>
      <c r="G719">
        <v>5</v>
      </c>
      <c r="H719">
        <v>5860.81</v>
      </c>
      <c r="I719" s="3">
        <v>0</v>
      </c>
      <c r="J719" t="s">
        <v>22</v>
      </c>
      <c r="K719" t="s">
        <v>29</v>
      </c>
      <c r="L719" t="s">
        <v>18</v>
      </c>
      <c r="M719">
        <v>29304.05</v>
      </c>
      <c r="N719" t="str">
        <f t="shared" si="23"/>
        <v>High</v>
      </c>
    </row>
    <row r="720" spans="1:14" x14ac:dyDescent="0.3">
      <c r="A720" t="s">
        <v>778</v>
      </c>
      <c r="B720" s="1">
        <v>45487</v>
      </c>
      <c r="C720" s="1" t="str">
        <f t="shared" si="22"/>
        <v>July</v>
      </c>
      <c r="D720" t="s">
        <v>13</v>
      </c>
      <c r="E720" t="s">
        <v>14</v>
      </c>
      <c r="F720" t="s">
        <v>44</v>
      </c>
      <c r="G720">
        <v>3</v>
      </c>
      <c r="H720">
        <v>6054.98</v>
      </c>
      <c r="I720" s="3">
        <v>0.2</v>
      </c>
      <c r="J720" t="s">
        <v>55</v>
      </c>
      <c r="K720" t="s">
        <v>40</v>
      </c>
      <c r="L720" t="s">
        <v>33</v>
      </c>
      <c r="M720">
        <v>14531.95</v>
      </c>
      <c r="N720" t="str">
        <f t="shared" si="23"/>
        <v>Medium</v>
      </c>
    </row>
    <row r="721" spans="1:14" x14ac:dyDescent="0.3">
      <c r="A721" t="s">
        <v>779</v>
      </c>
      <c r="B721" s="1">
        <v>45489</v>
      </c>
      <c r="C721" s="1" t="str">
        <f t="shared" si="22"/>
        <v>July</v>
      </c>
      <c r="D721" t="s">
        <v>38</v>
      </c>
      <c r="E721" t="s">
        <v>42</v>
      </c>
      <c r="F721" t="s">
        <v>27</v>
      </c>
      <c r="G721">
        <v>6</v>
      </c>
      <c r="H721">
        <v>4636.37</v>
      </c>
      <c r="I721" s="3">
        <v>0</v>
      </c>
      <c r="J721" t="s">
        <v>16</v>
      </c>
      <c r="K721" t="s">
        <v>23</v>
      </c>
      <c r="L721" t="s">
        <v>33</v>
      </c>
      <c r="M721">
        <f>Orders[[#This Row],[Quantity]]*Orders[[#This Row],[UnitPrice]]-Orders[[#This Row],[Discount%]]</f>
        <v>27818.22</v>
      </c>
      <c r="N721" t="str">
        <f t="shared" si="23"/>
        <v>High</v>
      </c>
    </row>
    <row r="722" spans="1:14" x14ac:dyDescent="0.3">
      <c r="A722" t="s">
        <v>780</v>
      </c>
      <c r="B722" s="1">
        <v>45540</v>
      </c>
      <c r="C722" s="1" t="str">
        <f t="shared" si="22"/>
        <v>September</v>
      </c>
      <c r="D722" t="s">
        <v>20</v>
      </c>
      <c r="E722" t="s">
        <v>61</v>
      </c>
      <c r="F722" t="s">
        <v>1160</v>
      </c>
      <c r="G722">
        <v>2</v>
      </c>
      <c r="H722">
        <v>2275.0700000000002</v>
      </c>
      <c r="I722" s="3">
        <v>0.15</v>
      </c>
      <c r="J722" t="s">
        <v>22</v>
      </c>
      <c r="K722" t="s">
        <v>17</v>
      </c>
      <c r="L722" t="s">
        <v>33</v>
      </c>
      <c r="M722">
        <v>3867.62</v>
      </c>
      <c r="N722" t="str">
        <f t="shared" si="23"/>
        <v>Low</v>
      </c>
    </row>
    <row r="723" spans="1:14" x14ac:dyDescent="0.3">
      <c r="A723" t="s">
        <v>781</v>
      </c>
      <c r="B723" s="1">
        <v>45472</v>
      </c>
      <c r="C723" s="1" t="str">
        <f t="shared" si="22"/>
        <v>June</v>
      </c>
      <c r="D723" t="s">
        <v>25</v>
      </c>
      <c r="E723" t="s">
        <v>46</v>
      </c>
      <c r="F723" t="s">
        <v>15</v>
      </c>
      <c r="G723">
        <v>6</v>
      </c>
      <c r="H723">
        <v>6822.74</v>
      </c>
      <c r="I723" s="3">
        <v>0.1</v>
      </c>
      <c r="J723" t="s">
        <v>55</v>
      </c>
      <c r="K723" t="s">
        <v>17</v>
      </c>
      <c r="L723" t="s">
        <v>33</v>
      </c>
      <c r="M723">
        <v>36842.800000000003</v>
      </c>
      <c r="N723" t="str">
        <f t="shared" si="23"/>
        <v>High</v>
      </c>
    </row>
    <row r="724" spans="1:14" x14ac:dyDescent="0.3">
      <c r="A724" t="s">
        <v>782</v>
      </c>
      <c r="B724" s="1">
        <v>45528</v>
      </c>
      <c r="C724" s="1" t="str">
        <f t="shared" si="22"/>
        <v>August</v>
      </c>
      <c r="D724" t="s">
        <v>13</v>
      </c>
      <c r="E724" t="s">
        <v>76</v>
      </c>
      <c r="F724" t="s">
        <v>1160</v>
      </c>
      <c r="G724">
        <v>6</v>
      </c>
      <c r="H724">
        <v>1825.5</v>
      </c>
      <c r="I724" s="3">
        <v>0.15</v>
      </c>
      <c r="J724" t="s">
        <v>16</v>
      </c>
      <c r="K724" t="s">
        <v>40</v>
      </c>
      <c r="L724" t="s">
        <v>18</v>
      </c>
      <c r="M724">
        <v>9310.0499999999993</v>
      </c>
      <c r="N724" t="str">
        <f t="shared" si="23"/>
        <v>Low</v>
      </c>
    </row>
    <row r="725" spans="1:14" x14ac:dyDescent="0.3">
      <c r="A725" t="s">
        <v>783</v>
      </c>
      <c r="B725" s="1">
        <v>45494</v>
      </c>
      <c r="C725" s="1" t="str">
        <f t="shared" si="22"/>
        <v>July</v>
      </c>
      <c r="D725" t="s">
        <v>13</v>
      </c>
      <c r="E725" t="s">
        <v>70</v>
      </c>
      <c r="F725" t="s">
        <v>47</v>
      </c>
      <c r="G725">
        <v>2</v>
      </c>
      <c r="H725">
        <v>3019.38</v>
      </c>
      <c r="I725" s="3">
        <v>0.2</v>
      </c>
      <c r="J725" t="s">
        <v>16</v>
      </c>
      <c r="K725" t="s">
        <v>40</v>
      </c>
      <c r="L725" t="s">
        <v>18</v>
      </c>
      <c r="M725">
        <v>4831.01</v>
      </c>
      <c r="N725" t="str">
        <f t="shared" si="23"/>
        <v>Low</v>
      </c>
    </row>
    <row r="726" spans="1:14" x14ac:dyDescent="0.3">
      <c r="A726" t="s">
        <v>784</v>
      </c>
      <c r="B726" s="1">
        <v>45450</v>
      </c>
      <c r="C726" s="1" t="str">
        <f t="shared" si="22"/>
        <v>June</v>
      </c>
      <c r="D726" t="s">
        <v>35</v>
      </c>
      <c r="E726" t="s">
        <v>68</v>
      </c>
      <c r="F726" t="s">
        <v>15</v>
      </c>
      <c r="G726">
        <v>4</v>
      </c>
      <c r="H726">
        <v>1200.6199999999999</v>
      </c>
      <c r="I726" s="3">
        <v>0.2</v>
      </c>
      <c r="J726" t="s">
        <v>16</v>
      </c>
      <c r="K726" t="s">
        <v>17</v>
      </c>
      <c r="L726" t="s">
        <v>33</v>
      </c>
      <c r="M726">
        <v>3841.98</v>
      </c>
      <c r="N726" t="str">
        <f t="shared" si="23"/>
        <v>Low</v>
      </c>
    </row>
    <row r="727" spans="1:14" x14ac:dyDescent="0.3">
      <c r="A727" t="s">
        <v>785</v>
      </c>
      <c r="B727" s="1">
        <v>45302</v>
      </c>
      <c r="C727" s="1" t="str">
        <f t="shared" si="22"/>
        <v>January</v>
      </c>
      <c r="D727" t="s">
        <v>38</v>
      </c>
      <c r="E727" t="s">
        <v>51</v>
      </c>
      <c r="F727" t="s">
        <v>47</v>
      </c>
      <c r="G727">
        <v>3</v>
      </c>
      <c r="H727">
        <v>1250.02</v>
      </c>
      <c r="I727" s="3">
        <v>0.05</v>
      </c>
      <c r="J727" t="s">
        <v>16</v>
      </c>
      <c r="K727" t="s">
        <v>49</v>
      </c>
      <c r="L727" t="s">
        <v>33</v>
      </c>
      <c r="M727">
        <v>3562.56</v>
      </c>
      <c r="N727" t="str">
        <f t="shared" si="23"/>
        <v>Low</v>
      </c>
    </row>
    <row r="728" spans="1:14" x14ac:dyDescent="0.3">
      <c r="A728" t="s">
        <v>786</v>
      </c>
      <c r="B728" s="1">
        <v>45456</v>
      </c>
      <c r="C728" s="1" t="str">
        <f t="shared" si="22"/>
        <v>June</v>
      </c>
      <c r="D728" t="s">
        <v>35</v>
      </c>
      <c r="E728" t="s">
        <v>68</v>
      </c>
      <c r="F728" t="s">
        <v>27</v>
      </c>
      <c r="G728">
        <v>3</v>
      </c>
      <c r="H728">
        <v>172.47</v>
      </c>
      <c r="I728" s="3">
        <v>0</v>
      </c>
      <c r="J728" t="s">
        <v>22</v>
      </c>
      <c r="K728" t="s">
        <v>17</v>
      </c>
      <c r="L728" t="s">
        <v>33</v>
      </c>
      <c r="M728">
        <v>517.41</v>
      </c>
      <c r="N728" t="str">
        <f t="shared" si="23"/>
        <v>Low</v>
      </c>
    </row>
    <row r="729" spans="1:14" x14ac:dyDescent="0.3">
      <c r="A729" t="s">
        <v>787</v>
      </c>
      <c r="B729" s="1">
        <v>45595</v>
      </c>
      <c r="C729" s="1" t="str">
        <f t="shared" si="22"/>
        <v>October</v>
      </c>
      <c r="D729" t="s">
        <v>20</v>
      </c>
      <c r="E729" t="s">
        <v>61</v>
      </c>
      <c r="F729" t="s">
        <v>15</v>
      </c>
      <c r="G729">
        <v>4</v>
      </c>
      <c r="H729">
        <v>3843.36</v>
      </c>
      <c r="I729" s="3">
        <v>0.05</v>
      </c>
      <c r="J729" t="s">
        <v>55</v>
      </c>
      <c r="K729" t="s">
        <v>29</v>
      </c>
      <c r="L729" t="s">
        <v>33</v>
      </c>
      <c r="M729">
        <v>14604.77</v>
      </c>
      <c r="N729" t="str">
        <f t="shared" si="23"/>
        <v>Medium</v>
      </c>
    </row>
    <row r="730" spans="1:14" x14ac:dyDescent="0.3">
      <c r="A730" t="s">
        <v>788</v>
      </c>
      <c r="B730" s="1">
        <v>45384</v>
      </c>
      <c r="C730" s="1" t="str">
        <f t="shared" si="22"/>
        <v>April</v>
      </c>
      <c r="D730" t="s">
        <v>20</v>
      </c>
      <c r="E730" t="s">
        <v>57</v>
      </c>
      <c r="F730" t="s">
        <v>15</v>
      </c>
      <c r="G730">
        <v>1</v>
      </c>
      <c r="H730">
        <v>2838.01</v>
      </c>
      <c r="I730" s="3">
        <v>0.1</v>
      </c>
      <c r="J730" t="s">
        <v>16</v>
      </c>
      <c r="K730" t="s">
        <v>29</v>
      </c>
      <c r="L730" t="s">
        <v>18</v>
      </c>
      <c r="M730">
        <v>2554.21</v>
      </c>
      <c r="N730" t="str">
        <f t="shared" si="23"/>
        <v>Low</v>
      </c>
    </row>
    <row r="731" spans="1:14" x14ac:dyDescent="0.3">
      <c r="A731" t="s">
        <v>789</v>
      </c>
      <c r="B731" s="1">
        <v>45541</v>
      </c>
      <c r="C731" s="1" t="str">
        <f t="shared" si="22"/>
        <v>September</v>
      </c>
      <c r="D731" t="s">
        <v>13</v>
      </c>
      <c r="E731" t="s">
        <v>76</v>
      </c>
      <c r="F731" t="s">
        <v>80</v>
      </c>
      <c r="G731">
        <v>1</v>
      </c>
      <c r="H731">
        <v>1370.65</v>
      </c>
      <c r="I731" s="3">
        <v>0.25</v>
      </c>
      <c r="J731" t="s">
        <v>28</v>
      </c>
      <c r="K731" t="s">
        <v>17</v>
      </c>
      <c r="L731" t="s">
        <v>33</v>
      </c>
      <c r="M731">
        <v>1027.99</v>
      </c>
      <c r="N731" t="str">
        <f t="shared" si="23"/>
        <v>Low</v>
      </c>
    </row>
    <row r="732" spans="1:14" x14ac:dyDescent="0.3">
      <c r="A732" t="s">
        <v>790</v>
      </c>
      <c r="B732" s="1">
        <v>45640</v>
      </c>
      <c r="C732" s="1" t="str">
        <f t="shared" si="22"/>
        <v>December</v>
      </c>
      <c r="D732" t="s">
        <v>25</v>
      </c>
      <c r="E732" t="s">
        <v>26</v>
      </c>
      <c r="F732" t="s">
        <v>15</v>
      </c>
      <c r="G732">
        <v>6</v>
      </c>
      <c r="H732">
        <v>6631.43</v>
      </c>
      <c r="I732" s="3">
        <v>0</v>
      </c>
      <c r="J732" t="s">
        <v>22</v>
      </c>
      <c r="K732" t="s">
        <v>17</v>
      </c>
      <c r="L732" t="s">
        <v>18</v>
      </c>
      <c r="M732">
        <v>39788.58</v>
      </c>
      <c r="N732" t="str">
        <f t="shared" si="23"/>
        <v>High</v>
      </c>
    </row>
    <row r="733" spans="1:14" x14ac:dyDescent="0.3">
      <c r="A733" t="s">
        <v>791</v>
      </c>
      <c r="B733" s="1">
        <v>45584</v>
      </c>
      <c r="C733" s="1" t="str">
        <f t="shared" si="22"/>
        <v>October</v>
      </c>
      <c r="D733" t="s">
        <v>25</v>
      </c>
      <c r="E733" t="s">
        <v>46</v>
      </c>
      <c r="F733" t="s">
        <v>53</v>
      </c>
      <c r="G733">
        <v>2</v>
      </c>
      <c r="H733">
        <v>7981.55</v>
      </c>
      <c r="I733" s="3">
        <v>0.2</v>
      </c>
      <c r="J733" t="s">
        <v>22</v>
      </c>
      <c r="K733" t="s">
        <v>49</v>
      </c>
      <c r="L733" t="s">
        <v>33</v>
      </c>
      <c r="M733">
        <v>12770.48</v>
      </c>
      <c r="N733" t="str">
        <f t="shared" si="23"/>
        <v>Medium</v>
      </c>
    </row>
    <row r="734" spans="1:14" x14ac:dyDescent="0.3">
      <c r="A734" t="s">
        <v>792</v>
      </c>
      <c r="B734" s="1">
        <v>45528</v>
      </c>
      <c r="C734" s="1" t="str">
        <f t="shared" si="22"/>
        <v>August</v>
      </c>
      <c r="D734" t="s">
        <v>20</v>
      </c>
      <c r="E734" t="s">
        <v>57</v>
      </c>
      <c r="F734" t="s">
        <v>44</v>
      </c>
      <c r="G734">
        <v>5</v>
      </c>
      <c r="H734">
        <v>7801.76</v>
      </c>
      <c r="I734" s="3">
        <v>0.25</v>
      </c>
      <c r="J734" t="s">
        <v>55</v>
      </c>
      <c r="K734" t="s">
        <v>23</v>
      </c>
      <c r="L734" t="s">
        <v>33</v>
      </c>
      <c r="M734">
        <v>29256.6</v>
      </c>
      <c r="N734" t="str">
        <f t="shared" si="23"/>
        <v>High</v>
      </c>
    </row>
    <row r="735" spans="1:14" x14ac:dyDescent="0.3">
      <c r="A735" t="s">
        <v>793</v>
      </c>
      <c r="B735" s="1">
        <v>45445</v>
      </c>
      <c r="C735" s="1" t="str">
        <f t="shared" si="22"/>
        <v>June</v>
      </c>
      <c r="D735" t="s">
        <v>35</v>
      </c>
      <c r="E735" t="s">
        <v>65</v>
      </c>
      <c r="F735" t="s">
        <v>80</v>
      </c>
      <c r="G735">
        <v>5</v>
      </c>
      <c r="H735">
        <v>5471.5</v>
      </c>
      <c r="I735" s="3">
        <v>0.15</v>
      </c>
      <c r="J735" t="s">
        <v>55</v>
      </c>
      <c r="K735" t="s">
        <v>29</v>
      </c>
      <c r="L735" t="s">
        <v>18</v>
      </c>
      <c r="M735">
        <v>23253.88</v>
      </c>
      <c r="N735" t="str">
        <f t="shared" si="23"/>
        <v>High</v>
      </c>
    </row>
    <row r="736" spans="1:14" x14ac:dyDescent="0.3">
      <c r="A736" t="s">
        <v>794</v>
      </c>
      <c r="B736" s="1">
        <v>45631</v>
      </c>
      <c r="C736" s="1" t="str">
        <f t="shared" si="22"/>
        <v>December</v>
      </c>
      <c r="D736" t="s">
        <v>25</v>
      </c>
      <c r="E736" t="s">
        <v>31</v>
      </c>
      <c r="F736" t="s">
        <v>1160</v>
      </c>
      <c r="G736">
        <v>4</v>
      </c>
      <c r="H736">
        <v>3977.23</v>
      </c>
      <c r="I736" s="3">
        <v>0.2</v>
      </c>
      <c r="J736" t="s">
        <v>55</v>
      </c>
      <c r="K736" t="s">
        <v>29</v>
      </c>
      <c r="L736" t="s">
        <v>33</v>
      </c>
      <c r="M736">
        <v>12727.14</v>
      </c>
      <c r="N736" t="str">
        <f t="shared" si="23"/>
        <v>Medium</v>
      </c>
    </row>
    <row r="737" spans="1:14" x14ac:dyDescent="0.3">
      <c r="A737" t="s">
        <v>795</v>
      </c>
      <c r="B737" s="1">
        <v>45396</v>
      </c>
      <c r="C737" s="1" t="str">
        <f t="shared" si="22"/>
        <v>April</v>
      </c>
      <c r="D737" t="s">
        <v>13</v>
      </c>
      <c r="E737" t="s">
        <v>14</v>
      </c>
      <c r="F737" t="s">
        <v>15</v>
      </c>
      <c r="G737">
        <v>6</v>
      </c>
      <c r="H737">
        <v>625.92999999999995</v>
      </c>
      <c r="I737" s="3">
        <v>0</v>
      </c>
      <c r="J737" t="s">
        <v>28</v>
      </c>
      <c r="K737" t="s">
        <v>17</v>
      </c>
      <c r="L737" t="s">
        <v>33</v>
      </c>
      <c r="M737">
        <v>3755.58</v>
      </c>
      <c r="N737" t="str">
        <f t="shared" si="23"/>
        <v>Low</v>
      </c>
    </row>
    <row r="738" spans="1:14" x14ac:dyDescent="0.3">
      <c r="A738" t="s">
        <v>796</v>
      </c>
      <c r="B738" s="1">
        <v>45563</v>
      </c>
      <c r="C738" s="1" t="str">
        <f t="shared" si="22"/>
        <v>September</v>
      </c>
      <c r="D738" t="s">
        <v>20</v>
      </c>
      <c r="E738" t="s">
        <v>59</v>
      </c>
      <c r="F738" t="s">
        <v>53</v>
      </c>
      <c r="G738">
        <v>6</v>
      </c>
      <c r="H738">
        <v>4080.02</v>
      </c>
      <c r="I738" s="3">
        <v>0.05</v>
      </c>
      <c r="J738" t="s">
        <v>16</v>
      </c>
      <c r="K738" t="s">
        <v>40</v>
      </c>
      <c r="L738" t="s">
        <v>33</v>
      </c>
      <c r="M738">
        <v>23256.11</v>
      </c>
      <c r="N738" t="str">
        <f t="shared" si="23"/>
        <v>High</v>
      </c>
    </row>
    <row r="739" spans="1:14" x14ac:dyDescent="0.3">
      <c r="A739" t="s">
        <v>797</v>
      </c>
      <c r="B739" s="1">
        <v>45389</v>
      </c>
      <c r="C739" s="1" t="str">
        <f t="shared" si="22"/>
        <v>April</v>
      </c>
      <c r="D739" t="s">
        <v>13</v>
      </c>
      <c r="E739" t="s">
        <v>70</v>
      </c>
      <c r="F739" t="s">
        <v>80</v>
      </c>
      <c r="G739">
        <v>6</v>
      </c>
      <c r="H739">
        <v>5202.72</v>
      </c>
      <c r="I739" s="3">
        <v>0.1</v>
      </c>
      <c r="J739" t="s">
        <v>16</v>
      </c>
      <c r="K739" t="s">
        <v>49</v>
      </c>
      <c r="L739" t="s">
        <v>33</v>
      </c>
      <c r="M739">
        <v>28094.69</v>
      </c>
      <c r="N739" t="str">
        <f t="shared" si="23"/>
        <v>High</v>
      </c>
    </row>
    <row r="740" spans="1:14" x14ac:dyDescent="0.3">
      <c r="A740" t="s">
        <v>798</v>
      </c>
      <c r="B740" s="1">
        <v>45607</v>
      </c>
      <c r="C740" s="1" t="str">
        <f t="shared" si="22"/>
        <v>November</v>
      </c>
      <c r="D740" t="s">
        <v>35</v>
      </c>
      <c r="E740" t="s">
        <v>36</v>
      </c>
      <c r="F740" t="s">
        <v>15</v>
      </c>
      <c r="G740">
        <v>5</v>
      </c>
      <c r="H740">
        <v>3347.49</v>
      </c>
      <c r="I740" s="3">
        <v>0.1</v>
      </c>
      <c r="J740" t="s">
        <v>55</v>
      </c>
      <c r="K740" t="s">
        <v>49</v>
      </c>
      <c r="L740" t="s">
        <v>33</v>
      </c>
      <c r="M740">
        <v>15063.7</v>
      </c>
      <c r="N740" t="str">
        <f t="shared" si="23"/>
        <v>Medium</v>
      </c>
    </row>
    <row r="741" spans="1:14" x14ac:dyDescent="0.3">
      <c r="A741" t="s">
        <v>799</v>
      </c>
      <c r="B741" s="1">
        <v>45391</v>
      </c>
      <c r="C741" s="1" t="str">
        <f t="shared" si="22"/>
        <v>April</v>
      </c>
      <c r="D741" t="s">
        <v>38</v>
      </c>
      <c r="E741" t="s">
        <v>164</v>
      </c>
      <c r="F741" t="s">
        <v>27</v>
      </c>
      <c r="G741">
        <v>3</v>
      </c>
      <c r="H741">
        <v>987.39</v>
      </c>
      <c r="I741" s="3">
        <v>0</v>
      </c>
      <c r="J741" t="s">
        <v>16</v>
      </c>
      <c r="K741" t="s">
        <v>29</v>
      </c>
      <c r="L741" t="s">
        <v>18</v>
      </c>
      <c r="M741">
        <v>2962.17</v>
      </c>
      <c r="N741" t="str">
        <f t="shared" si="23"/>
        <v>Low</v>
      </c>
    </row>
    <row r="742" spans="1:14" x14ac:dyDescent="0.3">
      <c r="A742" t="s">
        <v>800</v>
      </c>
      <c r="B742" s="1">
        <v>45473</v>
      </c>
      <c r="C742" s="1" t="str">
        <f t="shared" si="22"/>
        <v>June</v>
      </c>
      <c r="D742" t="s">
        <v>13</v>
      </c>
      <c r="E742" t="s">
        <v>76</v>
      </c>
      <c r="F742" t="s">
        <v>80</v>
      </c>
      <c r="G742">
        <v>6</v>
      </c>
      <c r="H742">
        <v>4349.5</v>
      </c>
      <c r="I742" s="3">
        <v>0.1</v>
      </c>
      <c r="J742" t="s">
        <v>16</v>
      </c>
      <c r="K742" t="s">
        <v>29</v>
      </c>
      <c r="L742" t="s">
        <v>33</v>
      </c>
      <c r="M742">
        <v>23487.3</v>
      </c>
      <c r="N742" t="str">
        <f t="shared" si="23"/>
        <v>High</v>
      </c>
    </row>
    <row r="743" spans="1:14" x14ac:dyDescent="0.3">
      <c r="A743" t="s">
        <v>801</v>
      </c>
      <c r="B743" s="1">
        <v>45645</v>
      </c>
      <c r="C743" s="1" t="str">
        <f t="shared" si="22"/>
        <v>December</v>
      </c>
      <c r="D743" t="s">
        <v>35</v>
      </c>
      <c r="E743" t="s">
        <v>97</v>
      </c>
      <c r="F743" t="s">
        <v>47</v>
      </c>
      <c r="G743">
        <v>1</v>
      </c>
      <c r="H743">
        <v>1409.39</v>
      </c>
      <c r="I743" s="3">
        <v>0.2</v>
      </c>
      <c r="J743" t="s">
        <v>22</v>
      </c>
      <c r="K743" t="s">
        <v>17</v>
      </c>
      <c r="L743" t="s">
        <v>33</v>
      </c>
      <c r="M743">
        <v>1127.51</v>
      </c>
      <c r="N743" t="str">
        <f t="shared" si="23"/>
        <v>Low</v>
      </c>
    </row>
    <row r="744" spans="1:14" x14ac:dyDescent="0.3">
      <c r="A744" t="s">
        <v>802</v>
      </c>
      <c r="B744" s="1">
        <v>45495</v>
      </c>
      <c r="C744" s="1" t="str">
        <f t="shared" si="22"/>
        <v>July</v>
      </c>
      <c r="D744" t="s">
        <v>25</v>
      </c>
      <c r="E744" t="s">
        <v>94</v>
      </c>
      <c r="F744" t="s">
        <v>44</v>
      </c>
      <c r="G744">
        <v>3</v>
      </c>
      <c r="H744">
        <v>7150.74</v>
      </c>
      <c r="I744" s="3">
        <v>0.15</v>
      </c>
      <c r="J744" t="s">
        <v>16</v>
      </c>
      <c r="K744" t="s">
        <v>23</v>
      </c>
      <c r="L744" t="s">
        <v>33</v>
      </c>
      <c r="M744">
        <v>18234.39</v>
      </c>
      <c r="N744" t="str">
        <f t="shared" si="23"/>
        <v>Medium</v>
      </c>
    </row>
    <row r="745" spans="1:14" x14ac:dyDescent="0.3">
      <c r="A745" t="s">
        <v>803</v>
      </c>
      <c r="B745" s="1">
        <v>45588</v>
      </c>
      <c r="C745" s="1" t="str">
        <f t="shared" si="22"/>
        <v>October</v>
      </c>
      <c r="D745" t="s">
        <v>20</v>
      </c>
      <c r="E745" t="s">
        <v>59</v>
      </c>
      <c r="F745" t="s">
        <v>53</v>
      </c>
      <c r="G745">
        <v>5</v>
      </c>
      <c r="H745">
        <v>6220.22</v>
      </c>
      <c r="I745" s="3">
        <v>0</v>
      </c>
      <c r="J745" t="s">
        <v>28</v>
      </c>
      <c r="K745" t="s">
        <v>23</v>
      </c>
      <c r="L745" t="s">
        <v>33</v>
      </c>
      <c r="M745">
        <v>31101.1</v>
      </c>
      <c r="N745" t="str">
        <f t="shared" si="23"/>
        <v>High</v>
      </c>
    </row>
    <row r="746" spans="1:14" x14ac:dyDescent="0.3">
      <c r="A746" t="s">
        <v>804</v>
      </c>
      <c r="B746" s="1">
        <v>45460</v>
      </c>
      <c r="C746" s="1" t="str">
        <f t="shared" si="22"/>
        <v>June</v>
      </c>
      <c r="D746" t="s">
        <v>20</v>
      </c>
      <c r="E746" t="s">
        <v>57</v>
      </c>
      <c r="F746" t="s">
        <v>27</v>
      </c>
      <c r="G746">
        <v>3</v>
      </c>
      <c r="H746">
        <v>3242.23</v>
      </c>
      <c r="I746" s="3">
        <v>0.25</v>
      </c>
      <c r="J746" t="s">
        <v>22</v>
      </c>
      <c r="K746" t="s">
        <v>17</v>
      </c>
      <c r="L746" t="s">
        <v>33</v>
      </c>
      <c r="M746">
        <v>7295.02</v>
      </c>
      <c r="N746" t="str">
        <f t="shared" si="23"/>
        <v>Low</v>
      </c>
    </row>
    <row r="747" spans="1:14" x14ac:dyDescent="0.3">
      <c r="A747" t="s">
        <v>805</v>
      </c>
      <c r="B747" s="1">
        <v>45588</v>
      </c>
      <c r="C747" s="1" t="str">
        <f t="shared" si="22"/>
        <v>October</v>
      </c>
      <c r="D747" t="s">
        <v>13</v>
      </c>
      <c r="E747" t="s">
        <v>70</v>
      </c>
      <c r="F747" t="s">
        <v>44</v>
      </c>
      <c r="G747">
        <v>1</v>
      </c>
      <c r="H747">
        <v>1631.08</v>
      </c>
      <c r="I747" s="3">
        <v>0.2</v>
      </c>
      <c r="J747" t="s">
        <v>22</v>
      </c>
      <c r="K747" t="s">
        <v>40</v>
      </c>
      <c r="L747" t="s">
        <v>33</v>
      </c>
      <c r="M747">
        <v>1304.8599999999999</v>
      </c>
      <c r="N747" t="str">
        <f t="shared" si="23"/>
        <v>Low</v>
      </c>
    </row>
    <row r="748" spans="1:14" x14ac:dyDescent="0.3">
      <c r="A748" t="s">
        <v>806</v>
      </c>
      <c r="B748" s="1">
        <v>45575</v>
      </c>
      <c r="C748" s="1" t="str">
        <f t="shared" si="22"/>
        <v>October</v>
      </c>
      <c r="D748" t="s">
        <v>38</v>
      </c>
      <c r="E748" t="s">
        <v>100</v>
      </c>
      <c r="F748" t="s">
        <v>53</v>
      </c>
      <c r="G748">
        <v>1</v>
      </c>
      <c r="H748">
        <v>1072.6300000000001</v>
      </c>
      <c r="I748" s="3">
        <v>0</v>
      </c>
      <c r="J748" t="s">
        <v>22</v>
      </c>
      <c r="K748" t="s">
        <v>40</v>
      </c>
      <c r="L748" t="s">
        <v>33</v>
      </c>
      <c r="M748">
        <v>1072.6300000000001</v>
      </c>
      <c r="N748" t="str">
        <f t="shared" si="23"/>
        <v>Low</v>
      </c>
    </row>
    <row r="749" spans="1:14" x14ac:dyDescent="0.3">
      <c r="A749" t="s">
        <v>807</v>
      </c>
      <c r="B749" s="1">
        <v>45522</v>
      </c>
      <c r="C749" s="1" t="str">
        <f t="shared" si="22"/>
        <v>August</v>
      </c>
      <c r="D749" t="s">
        <v>20</v>
      </c>
      <c r="E749" t="s">
        <v>57</v>
      </c>
      <c r="F749" t="s">
        <v>53</v>
      </c>
      <c r="G749">
        <v>6</v>
      </c>
      <c r="H749">
        <v>947.77</v>
      </c>
      <c r="I749" s="3">
        <v>0.1</v>
      </c>
      <c r="J749" t="s">
        <v>55</v>
      </c>
      <c r="K749" t="s">
        <v>23</v>
      </c>
      <c r="L749" t="s">
        <v>33</v>
      </c>
      <c r="M749">
        <f>Orders[[#This Row],[Quantity]]*Orders[[#This Row],[UnitPrice]]-Orders[[#This Row],[Discount%]]</f>
        <v>5686.5199999999995</v>
      </c>
      <c r="N749" t="str">
        <f t="shared" si="23"/>
        <v>Low</v>
      </c>
    </row>
    <row r="750" spans="1:14" x14ac:dyDescent="0.3">
      <c r="A750" t="s">
        <v>808</v>
      </c>
      <c r="B750" s="1">
        <v>45576</v>
      </c>
      <c r="C750" s="1" t="str">
        <f t="shared" si="22"/>
        <v>October</v>
      </c>
      <c r="D750" t="s">
        <v>20</v>
      </c>
      <c r="E750" t="s">
        <v>21</v>
      </c>
      <c r="F750" t="s">
        <v>53</v>
      </c>
      <c r="G750">
        <v>5</v>
      </c>
      <c r="H750">
        <v>5961.89</v>
      </c>
      <c r="I750" s="3">
        <v>0.1</v>
      </c>
      <c r="J750" t="s">
        <v>28</v>
      </c>
      <c r="K750" t="s">
        <v>17</v>
      </c>
      <c r="L750" t="s">
        <v>33</v>
      </c>
      <c r="M750">
        <v>26828.51</v>
      </c>
      <c r="N750" t="str">
        <f t="shared" si="23"/>
        <v>High</v>
      </c>
    </row>
    <row r="751" spans="1:14" x14ac:dyDescent="0.3">
      <c r="A751" t="s">
        <v>809</v>
      </c>
      <c r="B751" s="1">
        <v>45381</v>
      </c>
      <c r="C751" s="1" t="str">
        <f t="shared" si="22"/>
        <v>March</v>
      </c>
      <c r="D751" t="s">
        <v>35</v>
      </c>
      <c r="E751" t="s">
        <v>68</v>
      </c>
      <c r="F751" t="s">
        <v>47</v>
      </c>
      <c r="G751">
        <v>5</v>
      </c>
      <c r="H751">
        <v>2627.39</v>
      </c>
      <c r="I751" s="3">
        <v>0.15</v>
      </c>
      <c r="J751" t="s">
        <v>55</v>
      </c>
      <c r="K751" t="s">
        <v>40</v>
      </c>
      <c r="L751" t="s">
        <v>18</v>
      </c>
      <c r="M751">
        <v>11166.41</v>
      </c>
      <c r="N751" t="str">
        <f t="shared" si="23"/>
        <v>Medium</v>
      </c>
    </row>
    <row r="752" spans="1:14" x14ac:dyDescent="0.3">
      <c r="A752" t="s">
        <v>810</v>
      </c>
      <c r="B752" s="1">
        <v>45529</v>
      </c>
      <c r="C752" s="1" t="str">
        <f t="shared" si="22"/>
        <v>August</v>
      </c>
      <c r="D752" t="s">
        <v>20</v>
      </c>
      <c r="E752" t="s">
        <v>78</v>
      </c>
      <c r="F752" t="s">
        <v>47</v>
      </c>
      <c r="G752">
        <v>2</v>
      </c>
      <c r="H752">
        <v>1055.25</v>
      </c>
      <c r="I752" s="3">
        <v>0.15</v>
      </c>
      <c r="J752" t="s">
        <v>28</v>
      </c>
      <c r="K752" t="s">
        <v>17</v>
      </c>
      <c r="L752" t="s">
        <v>33</v>
      </c>
      <c r="M752">
        <v>1793.92</v>
      </c>
      <c r="N752" t="str">
        <f t="shared" si="23"/>
        <v>Low</v>
      </c>
    </row>
    <row r="753" spans="1:14" x14ac:dyDescent="0.3">
      <c r="A753" t="s">
        <v>811</v>
      </c>
      <c r="B753" s="1">
        <v>45461</v>
      </c>
      <c r="C753" s="1" t="str">
        <f t="shared" si="22"/>
        <v>June</v>
      </c>
      <c r="D753" t="s">
        <v>25</v>
      </c>
      <c r="E753" t="s">
        <v>94</v>
      </c>
      <c r="F753" t="s">
        <v>53</v>
      </c>
      <c r="G753">
        <v>4</v>
      </c>
      <c r="H753">
        <v>410.3</v>
      </c>
      <c r="I753" s="3">
        <v>0.25</v>
      </c>
      <c r="J753" t="s">
        <v>16</v>
      </c>
      <c r="K753" t="s">
        <v>23</v>
      </c>
      <c r="L753" t="s">
        <v>33</v>
      </c>
      <c r="M753">
        <v>1230.9000000000001</v>
      </c>
      <c r="N753" t="str">
        <f t="shared" si="23"/>
        <v>Low</v>
      </c>
    </row>
    <row r="754" spans="1:14" x14ac:dyDescent="0.3">
      <c r="A754" t="s">
        <v>812</v>
      </c>
      <c r="B754" s="1">
        <v>45628</v>
      </c>
      <c r="C754" s="1" t="str">
        <f t="shared" si="22"/>
        <v>December</v>
      </c>
      <c r="D754" t="s">
        <v>13</v>
      </c>
      <c r="E754" t="s">
        <v>14</v>
      </c>
      <c r="F754" t="s">
        <v>80</v>
      </c>
      <c r="G754">
        <v>2</v>
      </c>
      <c r="H754">
        <v>5574.14</v>
      </c>
      <c r="I754" s="3">
        <v>0.2</v>
      </c>
      <c r="J754" t="s">
        <v>28</v>
      </c>
      <c r="K754" t="s">
        <v>17</v>
      </c>
      <c r="L754" t="s">
        <v>33</v>
      </c>
      <c r="M754">
        <v>8918.6200000000008</v>
      </c>
      <c r="N754" t="str">
        <f t="shared" si="23"/>
        <v>Low</v>
      </c>
    </row>
    <row r="755" spans="1:14" x14ac:dyDescent="0.3">
      <c r="A755" t="s">
        <v>813</v>
      </c>
      <c r="B755" s="1">
        <v>45330</v>
      </c>
      <c r="C755" s="1" t="str">
        <f t="shared" si="22"/>
        <v>February</v>
      </c>
      <c r="D755" t="s">
        <v>25</v>
      </c>
      <c r="E755" t="s">
        <v>31</v>
      </c>
      <c r="F755" t="s">
        <v>27</v>
      </c>
      <c r="G755">
        <v>6</v>
      </c>
      <c r="H755">
        <v>6336.35</v>
      </c>
      <c r="I755" s="3">
        <v>0</v>
      </c>
      <c r="J755" t="s">
        <v>16</v>
      </c>
      <c r="K755" t="s">
        <v>29</v>
      </c>
      <c r="L755" t="s">
        <v>18</v>
      </c>
      <c r="M755">
        <v>38018.1</v>
      </c>
      <c r="N755" t="str">
        <f t="shared" si="23"/>
        <v>High</v>
      </c>
    </row>
    <row r="756" spans="1:14" x14ac:dyDescent="0.3">
      <c r="A756" t="s">
        <v>814</v>
      </c>
      <c r="B756" s="1">
        <v>45521</v>
      </c>
      <c r="C756" s="1" t="str">
        <f t="shared" si="22"/>
        <v>August</v>
      </c>
      <c r="D756" t="s">
        <v>38</v>
      </c>
      <c r="E756" t="s">
        <v>51</v>
      </c>
      <c r="F756" t="s">
        <v>53</v>
      </c>
      <c r="G756">
        <v>6</v>
      </c>
      <c r="H756">
        <v>7295.04</v>
      </c>
      <c r="I756" s="3">
        <v>0.2</v>
      </c>
      <c r="J756" t="s">
        <v>16</v>
      </c>
      <c r="K756" t="s">
        <v>40</v>
      </c>
      <c r="L756" t="s">
        <v>33</v>
      </c>
      <c r="M756">
        <v>35016.19</v>
      </c>
      <c r="N756" t="str">
        <f t="shared" si="23"/>
        <v>High</v>
      </c>
    </row>
    <row r="757" spans="1:14" x14ac:dyDescent="0.3">
      <c r="A757" t="s">
        <v>815</v>
      </c>
      <c r="B757" s="1">
        <v>45511</v>
      </c>
      <c r="C757" s="1" t="str">
        <f t="shared" si="22"/>
        <v>August</v>
      </c>
      <c r="D757" t="s">
        <v>38</v>
      </c>
      <c r="E757" t="s">
        <v>39</v>
      </c>
      <c r="F757" t="s">
        <v>1160</v>
      </c>
      <c r="G757">
        <v>1</v>
      </c>
      <c r="H757">
        <v>1583.41</v>
      </c>
      <c r="I757" s="3">
        <v>0.2</v>
      </c>
      <c r="J757" t="s">
        <v>28</v>
      </c>
      <c r="K757" t="s">
        <v>29</v>
      </c>
      <c r="L757" t="s">
        <v>18</v>
      </c>
      <c r="M757">
        <v>1266.73</v>
      </c>
      <c r="N757" t="str">
        <f t="shared" si="23"/>
        <v>Low</v>
      </c>
    </row>
    <row r="758" spans="1:14" x14ac:dyDescent="0.3">
      <c r="A758" t="s">
        <v>816</v>
      </c>
      <c r="B758" s="1">
        <v>45562</v>
      </c>
      <c r="C758" s="1" t="str">
        <f t="shared" si="22"/>
        <v>September</v>
      </c>
      <c r="D758" t="s">
        <v>20</v>
      </c>
      <c r="E758" t="s">
        <v>59</v>
      </c>
      <c r="F758" t="s">
        <v>47</v>
      </c>
      <c r="G758">
        <v>6</v>
      </c>
      <c r="H758">
        <v>5381.42</v>
      </c>
      <c r="I758" s="3">
        <v>0</v>
      </c>
      <c r="J758" t="s">
        <v>16</v>
      </c>
      <c r="K758" t="s">
        <v>29</v>
      </c>
      <c r="L758" t="s">
        <v>33</v>
      </c>
      <c r="M758">
        <v>32288.52</v>
      </c>
      <c r="N758" t="str">
        <f t="shared" si="23"/>
        <v>High</v>
      </c>
    </row>
    <row r="759" spans="1:14" x14ac:dyDescent="0.3">
      <c r="A759" t="s">
        <v>817</v>
      </c>
      <c r="B759" s="1">
        <v>45319</v>
      </c>
      <c r="C759" s="1" t="str">
        <f t="shared" si="22"/>
        <v>January</v>
      </c>
      <c r="D759" t="s">
        <v>38</v>
      </c>
      <c r="E759" t="s">
        <v>51</v>
      </c>
      <c r="F759" t="s">
        <v>44</v>
      </c>
      <c r="G759">
        <v>3</v>
      </c>
      <c r="H759">
        <v>6417.96</v>
      </c>
      <c r="I759" s="3">
        <v>0.25</v>
      </c>
      <c r="J759" t="s">
        <v>28</v>
      </c>
      <c r="K759" t="s">
        <v>40</v>
      </c>
      <c r="L759" t="s">
        <v>33</v>
      </c>
      <c r="M759">
        <v>14440.41</v>
      </c>
      <c r="N759" t="str">
        <f t="shared" si="23"/>
        <v>Medium</v>
      </c>
    </row>
    <row r="760" spans="1:14" x14ac:dyDescent="0.3">
      <c r="A760" t="s">
        <v>818</v>
      </c>
      <c r="B760" s="1">
        <v>45369</v>
      </c>
      <c r="C760" s="1" t="str">
        <f t="shared" si="22"/>
        <v>March</v>
      </c>
      <c r="D760" t="s">
        <v>35</v>
      </c>
      <c r="E760" t="s">
        <v>65</v>
      </c>
      <c r="F760" t="s">
        <v>53</v>
      </c>
      <c r="G760">
        <v>6</v>
      </c>
      <c r="H760">
        <v>7765.69</v>
      </c>
      <c r="I760" s="3">
        <v>0.05</v>
      </c>
      <c r="J760" t="s">
        <v>55</v>
      </c>
      <c r="K760" t="s">
        <v>49</v>
      </c>
      <c r="L760" t="s">
        <v>18</v>
      </c>
      <c r="M760">
        <v>44264.43</v>
      </c>
      <c r="N760" t="str">
        <f t="shared" si="23"/>
        <v>High</v>
      </c>
    </row>
    <row r="761" spans="1:14" x14ac:dyDescent="0.3">
      <c r="A761" t="s">
        <v>819</v>
      </c>
      <c r="B761" s="1">
        <v>45351</v>
      </c>
      <c r="C761" s="1" t="str">
        <f t="shared" si="22"/>
        <v>February</v>
      </c>
      <c r="D761" t="s">
        <v>25</v>
      </c>
      <c r="E761" t="s">
        <v>31</v>
      </c>
      <c r="F761" t="s">
        <v>32</v>
      </c>
      <c r="G761">
        <v>6</v>
      </c>
      <c r="H761">
        <v>5322.74</v>
      </c>
      <c r="I761" s="3">
        <v>0.1</v>
      </c>
      <c r="J761" t="s">
        <v>55</v>
      </c>
      <c r="K761" t="s">
        <v>29</v>
      </c>
      <c r="L761" t="s">
        <v>33</v>
      </c>
      <c r="M761">
        <v>28742.799999999999</v>
      </c>
      <c r="N761" t="str">
        <f t="shared" si="23"/>
        <v>High</v>
      </c>
    </row>
    <row r="762" spans="1:14" x14ac:dyDescent="0.3">
      <c r="A762" t="s">
        <v>820</v>
      </c>
      <c r="B762" s="1">
        <v>45551</v>
      </c>
      <c r="C762" s="1" t="str">
        <f t="shared" si="22"/>
        <v>September</v>
      </c>
      <c r="D762" t="s">
        <v>25</v>
      </c>
      <c r="E762" t="s">
        <v>87</v>
      </c>
      <c r="F762" t="s">
        <v>53</v>
      </c>
      <c r="G762">
        <v>3</v>
      </c>
      <c r="H762">
        <v>3361.01</v>
      </c>
      <c r="I762" s="3">
        <v>0.05</v>
      </c>
      <c r="J762" t="s">
        <v>16</v>
      </c>
      <c r="K762" t="s">
        <v>49</v>
      </c>
      <c r="L762" t="s">
        <v>18</v>
      </c>
      <c r="M762">
        <v>9578.8799999999992</v>
      </c>
      <c r="N762" t="str">
        <f t="shared" si="23"/>
        <v>Low</v>
      </c>
    </row>
    <row r="763" spans="1:14" x14ac:dyDescent="0.3">
      <c r="A763" t="s">
        <v>821</v>
      </c>
      <c r="B763" s="1">
        <v>45515</v>
      </c>
      <c r="C763" s="1" t="str">
        <f t="shared" si="22"/>
        <v>August</v>
      </c>
      <c r="D763" t="s">
        <v>13</v>
      </c>
      <c r="E763" t="s">
        <v>76</v>
      </c>
      <c r="F763" t="s">
        <v>1160</v>
      </c>
      <c r="G763">
        <v>6</v>
      </c>
      <c r="H763">
        <v>991.28</v>
      </c>
      <c r="I763" s="3">
        <v>0.1</v>
      </c>
      <c r="J763" t="s">
        <v>16</v>
      </c>
      <c r="K763" t="s">
        <v>49</v>
      </c>
      <c r="L763" t="s">
        <v>33</v>
      </c>
      <c r="M763">
        <v>5352.91</v>
      </c>
      <c r="N763" t="str">
        <f t="shared" si="23"/>
        <v>Low</v>
      </c>
    </row>
    <row r="764" spans="1:14" x14ac:dyDescent="0.3">
      <c r="A764" t="s">
        <v>822</v>
      </c>
      <c r="B764" s="1">
        <v>45463</v>
      </c>
      <c r="C764" s="1" t="str">
        <f t="shared" si="22"/>
        <v>June</v>
      </c>
      <c r="D764" t="s">
        <v>38</v>
      </c>
      <c r="E764" t="s">
        <v>51</v>
      </c>
      <c r="F764" t="s">
        <v>1160</v>
      </c>
      <c r="G764">
        <v>4</v>
      </c>
      <c r="H764">
        <v>7051.6</v>
      </c>
      <c r="I764" s="3">
        <v>0</v>
      </c>
      <c r="J764" t="s">
        <v>28</v>
      </c>
      <c r="K764" t="s">
        <v>40</v>
      </c>
      <c r="L764" t="s">
        <v>33</v>
      </c>
      <c r="M764">
        <f>Orders[[#This Row],[Quantity]]*Orders[[#This Row],[UnitPrice]]-Orders[[#This Row],[Discount%]]</f>
        <v>28206.400000000001</v>
      </c>
      <c r="N764" t="str">
        <f t="shared" si="23"/>
        <v>High</v>
      </c>
    </row>
    <row r="765" spans="1:14" x14ac:dyDescent="0.3">
      <c r="A765" t="s">
        <v>823</v>
      </c>
      <c r="B765" s="1">
        <v>45544</v>
      </c>
      <c r="C765" s="1" t="str">
        <f t="shared" si="22"/>
        <v>September</v>
      </c>
      <c r="D765" t="s">
        <v>13</v>
      </c>
      <c r="E765" t="s">
        <v>74</v>
      </c>
      <c r="F765" t="s">
        <v>44</v>
      </c>
      <c r="G765">
        <v>1</v>
      </c>
      <c r="H765">
        <v>3469.33</v>
      </c>
      <c r="I765" s="3">
        <v>0.2</v>
      </c>
      <c r="J765" t="s">
        <v>16</v>
      </c>
      <c r="K765" t="s">
        <v>49</v>
      </c>
      <c r="L765" t="s">
        <v>33</v>
      </c>
      <c r="M765">
        <v>2775.46</v>
      </c>
      <c r="N765" t="str">
        <f t="shared" si="23"/>
        <v>Low</v>
      </c>
    </row>
    <row r="766" spans="1:14" x14ac:dyDescent="0.3">
      <c r="A766" t="s">
        <v>824</v>
      </c>
      <c r="B766" s="1">
        <v>45594</v>
      </c>
      <c r="C766" s="1" t="str">
        <f t="shared" si="22"/>
        <v>October</v>
      </c>
      <c r="D766" t="s">
        <v>13</v>
      </c>
      <c r="E766" t="s">
        <v>70</v>
      </c>
      <c r="F766" t="s">
        <v>32</v>
      </c>
      <c r="G766">
        <v>2</v>
      </c>
      <c r="H766">
        <v>5654.71</v>
      </c>
      <c r="I766" s="3">
        <v>0.25</v>
      </c>
      <c r="J766" t="s">
        <v>16</v>
      </c>
      <c r="K766" t="s">
        <v>29</v>
      </c>
      <c r="L766" t="s">
        <v>33</v>
      </c>
      <c r="M766">
        <v>8482.07</v>
      </c>
      <c r="N766" t="str">
        <f t="shared" si="23"/>
        <v>Low</v>
      </c>
    </row>
    <row r="767" spans="1:14" x14ac:dyDescent="0.3">
      <c r="A767" t="s">
        <v>825</v>
      </c>
      <c r="B767" s="1">
        <v>45352</v>
      </c>
      <c r="C767" s="1" t="str">
        <f t="shared" si="22"/>
        <v>March</v>
      </c>
      <c r="D767" t="s">
        <v>20</v>
      </c>
      <c r="E767" t="s">
        <v>57</v>
      </c>
      <c r="F767" t="s">
        <v>27</v>
      </c>
      <c r="G767">
        <v>1</v>
      </c>
      <c r="H767">
        <v>2784.11</v>
      </c>
      <c r="I767" s="3">
        <v>0.15</v>
      </c>
      <c r="J767" t="s">
        <v>55</v>
      </c>
      <c r="K767" t="s">
        <v>17</v>
      </c>
      <c r="L767" t="s">
        <v>33</v>
      </c>
      <c r="M767">
        <v>2366.4899999999998</v>
      </c>
      <c r="N767" t="str">
        <f t="shared" si="23"/>
        <v>Low</v>
      </c>
    </row>
    <row r="768" spans="1:14" x14ac:dyDescent="0.3">
      <c r="A768" t="s">
        <v>826</v>
      </c>
      <c r="B768" s="1">
        <v>45607</v>
      </c>
      <c r="C768" s="1" t="str">
        <f t="shared" si="22"/>
        <v>November</v>
      </c>
      <c r="D768" t="s">
        <v>20</v>
      </c>
      <c r="E768" t="s">
        <v>61</v>
      </c>
      <c r="F768" t="s">
        <v>80</v>
      </c>
      <c r="G768">
        <v>6</v>
      </c>
      <c r="H768">
        <v>348.78</v>
      </c>
      <c r="I768" s="3">
        <v>0.25</v>
      </c>
      <c r="J768" t="s">
        <v>16</v>
      </c>
      <c r="K768" t="s">
        <v>29</v>
      </c>
      <c r="L768" t="s">
        <v>33</v>
      </c>
      <c r="M768">
        <v>1569.51</v>
      </c>
      <c r="N768" t="str">
        <f t="shared" si="23"/>
        <v>Low</v>
      </c>
    </row>
    <row r="769" spans="1:14" x14ac:dyDescent="0.3">
      <c r="A769" t="s">
        <v>827</v>
      </c>
      <c r="B769" s="1">
        <v>45369</v>
      </c>
      <c r="C769" s="1" t="str">
        <f t="shared" si="22"/>
        <v>March</v>
      </c>
      <c r="D769" t="s">
        <v>25</v>
      </c>
      <c r="E769" t="s">
        <v>87</v>
      </c>
      <c r="F769" t="s">
        <v>15</v>
      </c>
      <c r="G769">
        <v>6</v>
      </c>
      <c r="H769">
        <v>5501.13</v>
      </c>
      <c r="I769" s="3">
        <v>0.05</v>
      </c>
      <c r="J769" t="s">
        <v>22</v>
      </c>
      <c r="K769" t="s">
        <v>29</v>
      </c>
      <c r="L769" t="s">
        <v>33</v>
      </c>
      <c r="M769">
        <v>31356.44</v>
      </c>
      <c r="N769" t="str">
        <f t="shared" si="23"/>
        <v>High</v>
      </c>
    </row>
    <row r="770" spans="1:14" x14ac:dyDescent="0.3">
      <c r="A770" t="s">
        <v>828</v>
      </c>
      <c r="B770" s="1">
        <v>45424</v>
      </c>
      <c r="C770" s="1" t="str">
        <f t="shared" ref="C770:C833" si="24">TEXT(B770,"mmmm")</f>
        <v>May</v>
      </c>
      <c r="D770" t="s">
        <v>25</v>
      </c>
      <c r="E770" t="s">
        <v>31</v>
      </c>
      <c r="F770" t="s">
        <v>80</v>
      </c>
      <c r="G770">
        <v>4</v>
      </c>
      <c r="H770">
        <v>2738.44</v>
      </c>
      <c r="I770" s="3">
        <v>0.1</v>
      </c>
      <c r="J770" t="s">
        <v>55</v>
      </c>
      <c r="K770" t="s">
        <v>23</v>
      </c>
      <c r="L770" t="s">
        <v>33</v>
      </c>
      <c r="M770">
        <v>9858.3799999999992</v>
      </c>
      <c r="N770" t="str">
        <f t="shared" ref="N770:N833" si="25">IF(M770&gt;20000,"High",IF(M770&gt;10000,"Medium","Low"))</f>
        <v>Low</v>
      </c>
    </row>
    <row r="771" spans="1:14" x14ac:dyDescent="0.3">
      <c r="A771" t="s">
        <v>829</v>
      </c>
      <c r="B771" s="1">
        <v>45583</v>
      </c>
      <c r="C771" s="1" t="str">
        <f t="shared" si="24"/>
        <v>October</v>
      </c>
      <c r="D771" t="s">
        <v>13</v>
      </c>
      <c r="E771" t="s">
        <v>76</v>
      </c>
      <c r="F771" t="s">
        <v>32</v>
      </c>
      <c r="G771">
        <v>5</v>
      </c>
      <c r="H771">
        <v>3963.19</v>
      </c>
      <c r="I771" s="3">
        <v>0</v>
      </c>
      <c r="J771" t="s">
        <v>55</v>
      </c>
      <c r="K771" t="s">
        <v>23</v>
      </c>
      <c r="L771" t="s">
        <v>18</v>
      </c>
      <c r="M771">
        <v>19815.95</v>
      </c>
      <c r="N771" t="str">
        <f t="shared" si="25"/>
        <v>Medium</v>
      </c>
    </row>
    <row r="772" spans="1:14" x14ac:dyDescent="0.3">
      <c r="A772" t="s">
        <v>830</v>
      </c>
      <c r="B772" s="1">
        <v>45468</v>
      </c>
      <c r="C772" s="1" t="str">
        <f t="shared" si="24"/>
        <v>June</v>
      </c>
      <c r="D772" t="s">
        <v>25</v>
      </c>
      <c r="E772" t="s">
        <v>26</v>
      </c>
      <c r="F772" t="s">
        <v>15</v>
      </c>
      <c r="G772">
        <v>6</v>
      </c>
      <c r="H772">
        <v>3952.36</v>
      </c>
      <c r="I772" s="3">
        <v>0</v>
      </c>
      <c r="J772" t="s">
        <v>28</v>
      </c>
      <c r="K772" t="s">
        <v>29</v>
      </c>
      <c r="L772" t="s">
        <v>33</v>
      </c>
      <c r="M772">
        <v>23714.16</v>
      </c>
      <c r="N772" t="str">
        <f t="shared" si="25"/>
        <v>High</v>
      </c>
    </row>
    <row r="773" spans="1:14" x14ac:dyDescent="0.3">
      <c r="A773" t="s">
        <v>831</v>
      </c>
      <c r="B773" s="1">
        <v>45342</v>
      </c>
      <c r="C773" s="1" t="str">
        <f t="shared" si="24"/>
        <v>February</v>
      </c>
      <c r="D773" t="s">
        <v>25</v>
      </c>
      <c r="E773" t="s">
        <v>94</v>
      </c>
      <c r="F773" t="s">
        <v>27</v>
      </c>
      <c r="G773">
        <v>3</v>
      </c>
      <c r="H773">
        <v>7145.66</v>
      </c>
      <c r="I773" s="3">
        <v>0</v>
      </c>
      <c r="J773" t="s">
        <v>28</v>
      </c>
      <c r="K773" t="s">
        <v>17</v>
      </c>
      <c r="L773" t="s">
        <v>33</v>
      </c>
      <c r="M773">
        <v>21436.98</v>
      </c>
      <c r="N773" t="str">
        <f t="shared" si="25"/>
        <v>High</v>
      </c>
    </row>
    <row r="774" spans="1:14" x14ac:dyDescent="0.3">
      <c r="A774" t="s">
        <v>832</v>
      </c>
      <c r="B774" s="1">
        <v>45301</v>
      </c>
      <c r="C774" s="1" t="str">
        <f t="shared" si="24"/>
        <v>January</v>
      </c>
      <c r="D774" t="s">
        <v>35</v>
      </c>
      <c r="E774" t="s">
        <v>36</v>
      </c>
      <c r="F774" t="s">
        <v>53</v>
      </c>
      <c r="G774">
        <v>3</v>
      </c>
      <c r="H774">
        <v>7538.77</v>
      </c>
      <c r="I774" s="3">
        <v>0.1</v>
      </c>
      <c r="J774" t="s">
        <v>16</v>
      </c>
      <c r="K774" t="s">
        <v>17</v>
      </c>
      <c r="L774" t="s">
        <v>33</v>
      </c>
      <c r="M774">
        <f>Orders[[#This Row],[Quantity]]*Orders[[#This Row],[UnitPrice]]-Orders[[#This Row],[Discount%]]</f>
        <v>22616.210000000003</v>
      </c>
      <c r="N774" t="str">
        <f t="shared" si="25"/>
        <v>High</v>
      </c>
    </row>
    <row r="775" spans="1:14" x14ac:dyDescent="0.3">
      <c r="A775" t="s">
        <v>833</v>
      </c>
      <c r="B775" s="1">
        <v>45297</v>
      </c>
      <c r="C775" s="1" t="str">
        <f t="shared" si="24"/>
        <v>January</v>
      </c>
      <c r="D775" t="s">
        <v>25</v>
      </c>
      <c r="E775" t="s">
        <v>31</v>
      </c>
      <c r="F775" t="s">
        <v>47</v>
      </c>
      <c r="G775">
        <v>5</v>
      </c>
      <c r="H775">
        <v>2405.61</v>
      </c>
      <c r="I775" s="3">
        <v>0.1</v>
      </c>
      <c r="J775" t="s">
        <v>55</v>
      </c>
      <c r="K775" t="s">
        <v>29</v>
      </c>
      <c r="L775" t="s">
        <v>33</v>
      </c>
      <c r="M775">
        <v>10825.25</v>
      </c>
      <c r="N775" t="str">
        <f t="shared" si="25"/>
        <v>Medium</v>
      </c>
    </row>
    <row r="776" spans="1:14" x14ac:dyDescent="0.3">
      <c r="A776" t="s">
        <v>834</v>
      </c>
      <c r="B776" s="1">
        <v>45426</v>
      </c>
      <c r="C776" s="1" t="str">
        <f t="shared" si="24"/>
        <v>May</v>
      </c>
      <c r="D776" t="s">
        <v>25</v>
      </c>
      <c r="E776" t="s">
        <v>26</v>
      </c>
      <c r="F776" t="s">
        <v>15</v>
      </c>
      <c r="G776">
        <v>6</v>
      </c>
      <c r="H776">
        <v>5706.52</v>
      </c>
      <c r="I776" s="3">
        <v>0.05</v>
      </c>
      <c r="J776" t="s">
        <v>16</v>
      </c>
      <c r="K776" t="s">
        <v>17</v>
      </c>
      <c r="L776" t="s">
        <v>18</v>
      </c>
      <c r="M776">
        <v>32527.16</v>
      </c>
      <c r="N776" t="str">
        <f t="shared" si="25"/>
        <v>High</v>
      </c>
    </row>
    <row r="777" spans="1:14" x14ac:dyDescent="0.3">
      <c r="A777" t="s">
        <v>835</v>
      </c>
      <c r="B777" s="1">
        <v>45652</v>
      </c>
      <c r="C777" s="1" t="str">
        <f t="shared" si="24"/>
        <v>December</v>
      </c>
      <c r="D777" t="s">
        <v>13</v>
      </c>
      <c r="E777" t="s">
        <v>76</v>
      </c>
      <c r="F777" t="s">
        <v>47</v>
      </c>
      <c r="G777">
        <v>2</v>
      </c>
      <c r="H777">
        <v>664.28</v>
      </c>
      <c r="I777" s="3">
        <v>0.1</v>
      </c>
      <c r="J777" t="s">
        <v>16</v>
      </c>
      <c r="K777" t="s">
        <v>23</v>
      </c>
      <c r="L777" t="s">
        <v>33</v>
      </c>
      <c r="M777">
        <v>1195.7</v>
      </c>
      <c r="N777" t="str">
        <f t="shared" si="25"/>
        <v>Low</v>
      </c>
    </row>
    <row r="778" spans="1:14" x14ac:dyDescent="0.3">
      <c r="A778" t="s">
        <v>836</v>
      </c>
      <c r="B778" s="1">
        <v>45329</v>
      </c>
      <c r="C778" s="1" t="str">
        <f t="shared" si="24"/>
        <v>February</v>
      </c>
      <c r="D778" t="s">
        <v>35</v>
      </c>
      <c r="E778" t="s">
        <v>97</v>
      </c>
      <c r="F778" t="s">
        <v>1160</v>
      </c>
      <c r="G778">
        <v>5</v>
      </c>
      <c r="H778">
        <v>5311.18</v>
      </c>
      <c r="I778" s="3">
        <v>0.15</v>
      </c>
      <c r="J778" t="s">
        <v>55</v>
      </c>
      <c r="K778" t="s">
        <v>29</v>
      </c>
      <c r="L778" t="s">
        <v>33</v>
      </c>
      <c r="M778">
        <v>22572.51</v>
      </c>
      <c r="N778" t="str">
        <f t="shared" si="25"/>
        <v>High</v>
      </c>
    </row>
    <row r="779" spans="1:14" x14ac:dyDescent="0.3">
      <c r="A779" t="s">
        <v>837</v>
      </c>
      <c r="B779" s="1">
        <v>45551</v>
      </c>
      <c r="C779" s="1" t="str">
        <f t="shared" si="24"/>
        <v>September</v>
      </c>
      <c r="D779" t="s">
        <v>38</v>
      </c>
      <c r="E779" t="s">
        <v>100</v>
      </c>
      <c r="F779" t="s">
        <v>44</v>
      </c>
      <c r="G779">
        <v>4</v>
      </c>
      <c r="H779">
        <v>1009.69</v>
      </c>
      <c r="I779" s="3">
        <v>0.15</v>
      </c>
      <c r="J779" t="s">
        <v>55</v>
      </c>
      <c r="K779" t="s">
        <v>17</v>
      </c>
      <c r="L779" t="s">
        <v>33</v>
      </c>
      <c r="M779">
        <v>3432.95</v>
      </c>
      <c r="N779" t="str">
        <f t="shared" si="25"/>
        <v>Low</v>
      </c>
    </row>
    <row r="780" spans="1:14" x14ac:dyDescent="0.3">
      <c r="A780" t="s">
        <v>838</v>
      </c>
      <c r="B780" s="1">
        <v>45467</v>
      </c>
      <c r="C780" s="1" t="str">
        <f t="shared" si="24"/>
        <v>June</v>
      </c>
      <c r="D780" t="s">
        <v>38</v>
      </c>
      <c r="E780" t="s">
        <v>39</v>
      </c>
      <c r="F780" t="s">
        <v>53</v>
      </c>
      <c r="G780">
        <v>2</v>
      </c>
      <c r="H780">
        <v>2162.62</v>
      </c>
      <c r="I780" s="3">
        <v>0.25</v>
      </c>
      <c r="J780" t="s">
        <v>55</v>
      </c>
      <c r="K780" t="s">
        <v>17</v>
      </c>
      <c r="L780" t="s">
        <v>33</v>
      </c>
      <c r="M780">
        <f>Orders[[#This Row],[Quantity]]*Orders[[#This Row],[UnitPrice]]-Orders[[#This Row],[Discount%]]</f>
        <v>4324.99</v>
      </c>
      <c r="N780" t="str">
        <f t="shared" si="25"/>
        <v>Low</v>
      </c>
    </row>
    <row r="781" spans="1:14" x14ac:dyDescent="0.3">
      <c r="A781" t="s">
        <v>839</v>
      </c>
      <c r="B781" s="1">
        <v>45448</v>
      </c>
      <c r="C781" s="1" t="str">
        <f t="shared" si="24"/>
        <v>June</v>
      </c>
      <c r="D781" t="s">
        <v>13</v>
      </c>
      <c r="E781" t="s">
        <v>70</v>
      </c>
      <c r="F781" t="s">
        <v>32</v>
      </c>
      <c r="G781">
        <v>4</v>
      </c>
      <c r="H781">
        <v>4605.28</v>
      </c>
      <c r="I781" s="3">
        <v>0.25</v>
      </c>
      <c r="J781" t="s">
        <v>16</v>
      </c>
      <c r="K781" t="s">
        <v>49</v>
      </c>
      <c r="L781" t="s">
        <v>33</v>
      </c>
      <c r="M781">
        <v>13815.84</v>
      </c>
      <c r="N781" t="str">
        <f t="shared" si="25"/>
        <v>Medium</v>
      </c>
    </row>
    <row r="782" spans="1:14" x14ac:dyDescent="0.3">
      <c r="A782" t="s">
        <v>840</v>
      </c>
      <c r="B782" s="1">
        <v>45379</v>
      </c>
      <c r="C782" s="1" t="str">
        <f t="shared" si="24"/>
        <v>March</v>
      </c>
      <c r="D782" t="s">
        <v>38</v>
      </c>
      <c r="E782" t="s">
        <v>100</v>
      </c>
      <c r="F782" t="s">
        <v>44</v>
      </c>
      <c r="G782">
        <v>4</v>
      </c>
      <c r="H782">
        <v>5387.3</v>
      </c>
      <c r="I782" s="3">
        <v>0</v>
      </c>
      <c r="J782" t="s">
        <v>16</v>
      </c>
      <c r="K782" t="s">
        <v>29</v>
      </c>
      <c r="L782" t="s">
        <v>33</v>
      </c>
      <c r="M782">
        <v>21549.200000000001</v>
      </c>
      <c r="N782" t="str">
        <f t="shared" si="25"/>
        <v>High</v>
      </c>
    </row>
    <row r="783" spans="1:14" x14ac:dyDescent="0.3">
      <c r="A783" t="s">
        <v>841</v>
      </c>
      <c r="B783" s="1">
        <v>45585</v>
      </c>
      <c r="C783" s="1" t="str">
        <f t="shared" si="24"/>
        <v>October</v>
      </c>
      <c r="D783" t="s">
        <v>13</v>
      </c>
      <c r="E783" t="s">
        <v>76</v>
      </c>
      <c r="F783" t="s">
        <v>53</v>
      </c>
      <c r="G783">
        <v>1</v>
      </c>
      <c r="H783">
        <v>5050.34</v>
      </c>
      <c r="I783" s="3">
        <v>0.1</v>
      </c>
      <c r="J783" t="s">
        <v>28</v>
      </c>
      <c r="K783" t="s">
        <v>17</v>
      </c>
      <c r="L783" t="s">
        <v>33</v>
      </c>
      <c r="M783">
        <v>4545.3100000000004</v>
      </c>
      <c r="N783" t="str">
        <f t="shared" si="25"/>
        <v>Low</v>
      </c>
    </row>
    <row r="784" spans="1:14" x14ac:dyDescent="0.3">
      <c r="A784" t="s">
        <v>842</v>
      </c>
      <c r="B784" s="1">
        <v>45404</v>
      </c>
      <c r="C784" s="1" t="str">
        <f t="shared" si="24"/>
        <v>April</v>
      </c>
      <c r="D784" t="s">
        <v>35</v>
      </c>
      <c r="E784" t="s">
        <v>63</v>
      </c>
      <c r="F784" t="s">
        <v>80</v>
      </c>
      <c r="G784">
        <v>3</v>
      </c>
      <c r="H784">
        <v>3559.11</v>
      </c>
      <c r="I784" s="3">
        <v>0.2</v>
      </c>
      <c r="J784" t="s">
        <v>22</v>
      </c>
      <c r="K784" t="s">
        <v>40</v>
      </c>
      <c r="L784" t="s">
        <v>33</v>
      </c>
      <c r="M784">
        <v>8541.86</v>
      </c>
      <c r="N784" t="str">
        <f t="shared" si="25"/>
        <v>Low</v>
      </c>
    </row>
    <row r="785" spans="1:14" x14ac:dyDescent="0.3">
      <c r="A785" t="s">
        <v>843</v>
      </c>
      <c r="B785" s="1">
        <v>45313</v>
      </c>
      <c r="C785" s="1" t="str">
        <f t="shared" si="24"/>
        <v>January</v>
      </c>
      <c r="D785" t="s">
        <v>38</v>
      </c>
      <c r="E785" t="s">
        <v>100</v>
      </c>
      <c r="F785" t="s">
        <v>27</v>
      </c>
      <c r="G785">
        <v>5</v>
      </c>
      <c r="H785">
        <v>2857.35</v>
      </c>
      <c r="I785" s="3">
        <v>0.2</v>
      </c>
      <c r="J785" t="s">
        <v>55</v>
      </c>
      <c r="K785" t="s">
        <v>17</v>
      </c>
      <c r="L785" t="s">
        <v>33</v>
      </c>
      <c r="M785">
        <v>11429.4</v>
      </c>
      <c r="N785" t="str">
        <f t="shared" si="25"/>
        <v>Medium</v>
      </c>
    </row>
    <row r="786" spans="1:14" x14ac:dyDescent="0.3">
      <c r="A786" t="s">
        <v>844</v>
      </c>
      <c r="B786" s="1">
        <v>45559</v>
      </c>
      <c r="C786" s="1" t="str">
        <f t="shared" si="24"/>
        <v>September</v>
      </c>
      <c r="D786" t="s">
        <v>20</v>
      </c>
      <c r="E786" t="s">
        <v>78</v>
      </c>
      <c r="F786" t="s">
        <v>80</v>
      </c>
      <c r="G786">
        <v>6</v>
      </c>
      <c r="H786">
        <v>3032.56</v>
      </c>
      <c r="I786" s="3">
        <v>0.05</v>
      </c>
      <c r="J786" t="s">
        <v>55</v>
      </c>
      <c r="K786" t="s">
        <v>23</v>
      </c>
      <c r="L786" t="s">
        <v>33</v>
      </c>
      <c r="M786">
        <v>17285.59</v>
      </c>
      <c r="N786" t="str">
        <f t="shared" si="25"/>
        <v>Medium</v>
      </c>
    </row>
    <row r="787" spans="1:14" x14ac:dyDescent="0.3">
      <c r="A787" t="s">
        <v>845</v>
      </c>
      <c r="B787" s="1">
        <v>45647</v>
      </c>
      <c r="C787" s="1" t="str">
        <f t="shared" si="24"/>
        <v>December</v>
      </c>
      <c r="D787" t="s">
        <v>13</v>
      </c>
      <c r="E787" t="s">
        <v>14</v>
      </c>
      <c r="F787" t="s">
        <v>53</v>
      </c>
      <c r="G787">
        <v>2</v>
      </c>
      <c r="H787">
        <v>6620.5</v>
      </c>
      <c r="I787" s="3">
        <v>0.2</v>
      </c>
      <c r="J787" t="s">
        <v>28</v>
      </c>
      <c r="K787" t="s">
        <v>40</v>
      </c>
      <c r="L787" t="s">
        <v>33</v>
      </c>
      <c r="M787">
        <v>10592.8</v>
      </c>
      <c r="N787" t="str">
        <f t="shared" si="25"/>
        <v>Medium</v>
      </c>
    </row>
    <row r="788" spans="1:14" x14ac:dyDescent="0.3">
      <c r="A788" t="s">
        <v>846</v>
      </c>
      <c r="B788" s="1">
        <v>45480</v>
      </c>
      <c r="C788" s="1" t="str">
        <f t="shared" si="24"/>
        <v>July</v>
      </c>
      <c r="D788" t="s">
        <v>38</v>
      </c>
      <c r="E788" t="s">
        <v>164</v>
      </c>
      <c r="F788" t="s">
        <v>80</v>
      </c>
      <c r="G788">
        <v>5</v>
      </c>
      <c r="H788">
        <v>6213.19</v>
      </c>
      <c r="I788" s="3">
        <v>0</v>
      </c>
      <c r="J788" t="s">
        <v>22</v>
      </c>
      <c r="K788" t="s">
        <v>17</v>
      </c>
      <c r="L788" t="s">
        <v>33</v>
      </c>
      <c r="M788">
        <v>31065.95</v>
      </c>
      <c r="N788" t="str">
        <f t="shared" si="25"/>
        <v>High</v>
      </c>
    </row>
    <row r="789" spans="1:14" x14ac:dyDescent="0.3">
      <c r="A789" t="s">
        <v>847</v>
      </c>
      <c r="B789" s="1">
        <v>45469</v>
      </c>
      <c r="C789" s="1" t="str">
        <f t="shared" si="24"/>
        <v>June</v>
      </c>
      <c r="D789" t="s">
        <v>35</v>
      </c>
      <c r="E789" t="s">
        <v>97</v>
      </c>
      <c r="F789" t="s">
        <v>1160</v>
      </c>
      <c r="G789">
        <v>5</v>
      </c>
      <c r="H789">
        <v>5112.7299999999996</v>
      </c>
      <c r="I789" s="3">
        <v>0.2</v>
      </c>
      <c r="J789" t="s">
        <v>16</v>
      </c>
      <c r="K789" t="s">
        <v>29</v>
      </c>
      <c r="L789" t="s">
        <v>33</v>
      </c>
      <c r="M789">
        <v>20450.919999999998</v>
      </c>
      <c r="N789" t="str">
        <f t="shared" si="25"/>
        <v>High</v>
      </c>
    </row>
    <row r="790" spans="1:14" x14ac:dyDescent="0.3">
      <c r="A790" t="s">
        <v>848</v>
      </c>
      <c r="B790" s="1">
        <v>45293</v>
      </c>
      <c r="C790" s="1" t="str">
        <f t="shared" si="24"/>
        <v>January</v>
      </c>
      <c r="D790" t="s">
        <v>25</v>
      </c>
      <c r="E790" t="s">
        <v>87</v>
      </c>
      <c r="F790" t="s">
        <v>15</v>
      </c>
      <c r="G790">
        <v>1</v>
      </c>
      <c r="H790">
        <v>1152.2</v>
      </c>
      <c r="I790" s="3">
        <v>0.25</v>
      </c>
      <c r="J790" t="s">
        <v>55</v>
      </c>
      <c r="K790" t="s">
        <v>40</v>
      </c>
      <c r="L790" t="s">
        <v>33</v>
      </c>
      <c r="M790">
        <v>864.15</v>
      </c>
      <c r="N790" t="str">
        <f t="shared" si="25"/>
        <v>Low</v>
      </c>
    </row>
    <row r="791" spans="1:14" x14ac:dyDescent="0.3">
      <c r="A791" t="s">
        <v>849</v>
      </c>
      <c r="B791" s="1">
        <v>45651</v>
      </c>
      <c r="C791" s="1" t="str">
        <f t="shared" si="24"/>
        <v>December</v>
      </c>
      <c r="D791" t="s">
        <v>35</v>
      </c>
      <c r="E791" t="s">
        <v>65</v>
      </c>
      <c r="F791" t="s">
        <v>80</v>
      </c>
      <c r="G791">
        <v>4</v>
      </c>
      <c r="H791">
        <v>614.21</v>
      </c>
      <c r="I791" s="3">
        <v>0.1</v>
      </c>
      <c r="J791" t="s">
        <v>22</v>
      </c>
      <c r="K791" t="s">
        <v>29</v>
      </c>
      <c r="L791" t="s">
        <v>18</v>
      </c>
      <c r="M791">
        <v>2211.16</v>
      </c>
      <c r="N791" t="str">
        <f t="shared" si="25"/>
        <v>Low</v>
      </c>
    </row>
    <row r="792" spans="1:14" x14ac:dyDescent="0.3">
      <c r="A792" t="s">
        <v>850</v>
      </c>
      <c r="B792" s="1">
        <v>45401</v>
      </c>
      <c r="C792" s="1" t="str">
        <f t="shared" si="24"/>
        <v>April</v>
      </c>
      <c r="D792" t="s">
        <v>38</v>
      </c>
      <c r="E792" t="s">
        <v>100</v>
      </c>
      <c r="F792" t="s">
        <v>1160</v>
      </c>
      <c r="G792">
        <v>1</v>
      </c>
      <c r="H792">
        <v>5450.75</v>
      </c>
      <c r="I792" s="3">
        <v>0.1</v>
      </c>
      <c r="J792" t="s">
        <v>16</v>
      </c>
      <c r="K792" t="s">
        <v>49</v>
      </c>
      <c r="L792" t="s">
        <v>18</v>
      </c>
      <c r="M792">
        <v>4905.68</v>
      </c>
      <c r="N792" t="str">
        <f t="shared" si="25"/>
        <v>Low</v>
      </c>
    </row>
    <row r="793" spans="1:14" x14ac:dyDescent="0.3">
      <c r="A793" t="s">
        <v>851</v>
      </c>
      <c r="B793" s="1">
        <v>45346</v>
      </c>
      <c r="C793" s="1" t="str">
        <f t="shared" si="24"/>
        <v>February</v>
      </c>
      <c r="D793" t="s">
        <v>38</v>
      </c>
      <c r="E793" t="s">
        <v>51</v>
      </c>
      <c r="F793" t="s">
        <v>15</v>
      </c>
      <c r="G793">
        <v>1</v>
      </c>
      <c r="H793">
        <v>4338.92</v>
      </c>
      <c r="I793" s="3">
        <v>0.15</v>
      </c>
      <c r="J793" t="s">
        <v>16</v>
      </c>
      <c r="K793" t="s">
        <v>17</v>
      </c>
      <c r="L793" t="s">
        <v>18</v>
      </c>
      <c r="M793">
        <v>3688.08</v>
      </c>
      <c r="N793" t="str">
        <f t="shared" si="25"/>
        <v>Low</v>
      </c>
    </row>
    <row r="794" spans="1:14" x14ac:dyDescent="0.3">
      <c r="A794" t="s">
        <v>852</v>
      </c>
      <c r="B794" s="1">
        <v>45503</v>
      </c>
      <c r="C794" s="1" t="str">
        <f t="shared" si="24"/>
        <v>July</v>
      </c>
      <c r="D794" t="s">
        <v>35</v>
      </c>
      <c r="E794" t="s">
        <v>63</v>
      </c>
      <c r="F794" t="s">
        <v>15</v>
      </c>
      <c r="G794">
        <v>4</v>
      </c>
      <c r="H794">
        <v>1178.99</v>
      </c>
      <c r="I794" s="3">
        <v>0.25</v>
      </c>
      <c r="J794" t="s">
        <v>22</v>
      </c>
      <c r="K794" t="s">
        <v>23</v>
      </c>
      <c r="L794" t="s">
        <v>33</v>
      </c>
      <c r="M794">
        <v>3536.97</v>
      </c>
      <c r="N794" t="str">
        <f t="shared" si="25"/>
        <v>Low</v>
      </c>
    </row>
    <row r="795" spans="1:14" x14ac:dyDescent="0.3">
      <c r="A795" t="s">
        <v>853</v>
      </c>
      <c r="B795" s="1">
        <v>45614</v>
      </c>
      <c r="C795" s="1" t="str">
        <f t="shared" si="24"/>
        <v>November</v>
      </c>
      <c r="D795" t="s">
        <v>25</v>
      </c>
      <c r="E795" t="s">
        <v>31</v>
      </c>
      <c r="F795" t="s">
        <v>27</v>
      </c>
      <c r="G795">
        <v>1</v>
      </c>
      <c r="H795">
        <v>4106.38</v>
      </c>
      <c r="I795" s="3">
        <v>0</v>
      </c>
      <c r="J795" t="s">
        <v>22</v>
      </c>
      <c r="K795" t="s">
        <v>23</v>
      </c>
      <c r="L795" t="s">
        <v>18</v>
      </c>
      <c r="M795">
        <v>4106.38</v>
      </c>
      <c r="N795" t="str">
        <f t="shared" si="25"/>
        <v>Low</v>
      </c>
    </row>
    <row r="796" spans="1:14" x14ac:dyDescent="0.3">
      <c r="A796" t="s">
        <v>854</v>
      </c>
      <c r="B796" s="1">
        <v>45351</v>
      </c>
      <c r="C796" s="1" t="str">
        <f t="shared" si="24"/>
        <v>February</v>
      </c>
      <c r="D796" t="s">
        <v>20</v>
      </c>
      <c r="E796" t="s">
        <v>78</v>
      </c>
      <c r="F796" t="s">
        <v>44</v>
      </c>
      <c r="G796">
        <v>4</v>
      </c>
      <c r="H796">
        <v>992.49</v>
      </c>
      <c r="I796" s="3">
        <v>0.05</v>
      </c>
      <c r="J796" t="s">
        <v>22</v>
      </c>
      <c r="K796" t="s">
        <v>40</v>
      </c>
      <c r="L796" t="s">
        <v>33</v>
      </c>
      <c r="M796">
        <v>3771.46</v>
      </c>
      <c r="N796" t="str">
        <f t="shared" si="25"/>
        <v>Low</v>
      </c>
    </row>
    <row r="797" spans="1:14" x14ac:dyDescent="0.3">
      <c r="A797" t="s">
        <v>855</v>
      </c>
      <c r="B797" s="1">
        <v>45348</v>
      </c>
      <c r="C797" s="1" t="str">
        <f t="shared" si="24"/>
        <v>February</v>
      </c>
      <c r="D797" t="s">
        <v>20</v>
      </c>
      <c r="E797" t="s">
        <v>61</v>
      </c>
      <c r="F797" t="s">
        <v>44</v>
      </c>
      <c r="G797">
        <v>2</v>
      </c>
      <c r="H797">
        <v>5645.49</v>
      </c>
      <c r="I797" s="3">
        <v>0</v>
      </c>
      <c r="J797" t="s">
        <v>16</v>
      </c>
      <c r="K797" t="s">
        <v>29</v>
      </c>
      <c r="L797" t="s">
        <v>33</v>
      </c>
      <c r="M797">
        <v>11290.98</v>
      </c>
      <c r="N797" t="str">
        <f t="shared" si="25"/>
        <v>Medium</v>
      </c>
    </row>
    <row r="798" spans="1:14" x14ac:dyDescent="0.3">
      <c r="A798" t="s">
        <v>856</v>
      </c>
      <c r="B798" s="1">
        <v>45440</v>
      </c>
      <c r="C798" s="1" t="str">
        <f t="shared" si="24"/>
        <v>May</v>
      </c>
      <c r="D798" t="s">
        <v>35</v>
      </c>
      <c r="E798" t="s">
        <v>65</v>
      </c>
      <c r="F798" t="s">
        <v>1160</v>
      </c>
      <c r="G798">
        <v>5</v>
      </c>
      <c r="H798">
        <v>631.25</v>
      </c>
      <c r="I798" s="3">
        <v>0</v>
      </c>
      <c r="J798" t="s">
        <v>55</v>
      </c>
      <c r="K798" t="s">
        <v>29</v>
      </c>
      <c r="L798" t="s">
        <v>33</v>
      </c>
      <c r="M798">
        <v>3156.25</v>
      </c>
      <c r="N798" t="str">
        <f t="shared" si="25"/>
        <v>Low</v>
      </c>
    </row>
    <row r="799" spans="1:14" x14ac:dyDescent="0.3">
      <c r="A799" t="s">
        <v>857</v>
      </c>
      <c r="B799" s="1">
        <v>45380</v>
      </c>
      <c r="C799" s="1" t="str">
        <f t="shared" si="24"/>
        <v>March</v>
      </c>
      <c r="D799" t="s">
        <v>25</v>
      </c>
      <c r="E799" t="s">
        <v>26</v>
      </c>
      <c r="F799" t="s">
        <v>44</v>
      </c>
      <c r="G799">
        <v>4</v>
      </c>
      <c r="H799">
        <v>6393.52</v>
      </c>
      <c r="I799" s="3">
        <v>0.1</v>
      </c>
      <c r="J799" t="s">
        <v>16</v>
      </c>
      <c r="K799" t="s">
        <v>23</v>
      </c>
      <c r="L799" t="s">
        <v>33</v>
      </c>
      <c r="M799">
        <v>23016.67</v>
      </c>
      <c r="N799" t="str">
        <f t="shared" si="25"/>
        <v>High</v>
      </c>
    </row>
    <row r="800" spans="1:14" x14ac:dyDescent="0.3">
      <c r="A800" t="s">
        <v>858</v>
      </c>
      <c r="B800" s="1">
        <v>45475</v>
      </c>
      <c r="C800" s="1" t="str">
        <f t="shared" si="24"/>
        <v>July</v>
      </c>
      <c r="D800" t="s">
        <v>13</v>
      </c>
      <c r="E800" t="s">
        <v>70</v>
      </c>
      <c r="F800" t="s">
        <v>15</v>
      </c>
      <c r="G800">
        <v>4</v>
      </c>
      <c r="H800">
        <v>7776.42</v>
      </c>
      <c r="I800" s="3">
        <v>0.15</v>
      </c>
      <c r="J800" t="s">
        <v>22</v>
      </c>
      <c r="K800" t="s">
        <v>17</v>
      </c>
      <c r="L800" t="s">
        <v>33</v>
      </c>
      <c r="M800">
        <f>Orders[[#This Row],[Quantity]]*Orders[[#This Row],[UnitPrice]]-Orders[[#This Row],[Discount%]]</f>
        <v>31105.53</v>
      </c>
      <c r="N800" t="str">
        <f t="shared" si="25"/>
        <v>High</v>
      </c>
    </row>
    <row r="801" spans="1:14" x14ac:dyDescent="0.3">
      <c r="A801" t="s">
        <v>859</v>
      </c>
      <c r="B801" s="1">
        <v>45414</v>
      </c>
      <c r="C801" s="1" t="str">
        <f t="shared" si="24"/>
        <v>May</v>
      </c>
      <c r="D801" t="s">
        <v>13</v>
      </c>
      <c r="E801" t="s">
        <v>70</v>
      </c>
      <c r="F801" t="s">
        <v>15</v>
      </c>
      <c r="G801">
        <v>1</v>
      </c>
      <c r="H801">
        <v>7419.13</v>
      </c>
      <c r="I801" s="3">
        <v>0.2</v>
      </c>
      <c r="J801" t="s">
        <v>16</v>
      </c>
      <c r="K801" t="s">
        <v>40</v>
      </c>
      <c r="L801" t="s">
        <v>33</v>
      </c>
      <c r="M801">
        <v>5935.3</v>
      </c>
      <c r="N801" t="str">
        <f t="shared" si="25"/>
        <v>Low</v>
      </c>
    </row>
    <row r="802" spans="1:14" x14ac:dyDescent="0.3">
      <c r="A802" t="s">
        <v>860</v>
      </c>
      <c r="B802" s="1">
        <v>45550</v>
      </c>
      <c r="C802" s="1" t="str">
        <f t="shared" si="24"/>
        <v>September</v>
      </c>
      <c r="D802" t="s">
        <v>13</v>
      </c>
      <c r="E802" t="s">
        <v>14</v>
      </c>
      <c r="F802" t="s">
        <v>47</v>
      </c>
      <c r="G802">
        <v>4</v>
      </c>
      <c r="H802">
        <v>4212.91</v>
      </c>
      <c r="I802" s="3">
        <v>0.05</v>
      </c>
      <c r="J802" t="s">
        <v>16</v>
      </c>
      <c r="K802" t="s">
        <v>40</v>
      </c>
      <c r="L802" t="s">
        <v>33</v>
      </c>
      <c r="M802">
        <v>16009.06</v>
      </c>
      <c r="N802" t="str">
        <f t="shared" si="25"/>
        <v>Medium</v>
      </c>
    </row>
    <row r="803" spans="1:14" x14ac:dyDescent="0.3">
      <c r="A803" t="s">
        <v>861</v>
      </c>
      <c r="B803" s="1">
        <v>45462</v>
      </c>
      <c r="C803" s="1" t="str">
        <f t="shared" si="24"/>
        <v>June</v>
      </c>
      <c r="D803" t="s">
        <v>20</v>
      </c>
      <c r="E803" t="s">
        <v>59</v>
      </c>
      <c r="F803" t="s">
        <v>15</v>
      </c>
      <c r="G803">
        <v>6</v>
      </c>
      <c r="H803">
        <v>4520.5</v>
      </c>
      <c r="I803" s="3">
        <v>0.2</v>
      </c>
      <c r="J803" t="s">
        <v>16</v>
      </c>
      <c r="K803" t="s">
        <v>17</v>
      </c>
      <c r="L803" t="s">
        <v>33</v>
      </c>
      <c r="M803">
        <f>Orders[[#This Row],[Quantity]]*Orders[[#This Row],[UnitPrice]]-Orders[[#This Row],[Discount%]]</f>
        <v>27122.799999999999</v>
      </c>
      <c r="N803" t="str">
        <f t="shared" si="25"/>
        <v>High</v>
      </c>
    </row>
    <row r="804" spans="1:14" x14ac:dyDescent="0.3">
      <c r="A804" t="s">
        <v>862</v>
      </c>
      <c r="B804" s="1">
        <v>45575</v>
      </c>
      <c r="C804" s="1" t="str">
        <f t="shared" si="24"/>
        <v>October</v>
      </c>
      <c r="D804" t="s">
        <v>20</v>
      </c>
      <c r="E804" t="s">
        <v>21</v>
      </c>
      <c r="F804" t="s">
        <v>53</v>
      </c>
      <c r="G804">
        <v>2</v>
      </c>
      <c r="H804">
        <v>4599.8999999999996</v>
      </c>
      <c r="I804" s="3">
        <v>0</v>
      </c>
      <c r="J804" t="s">
        <v>22</v>
      </c>
      <c r="K804" t="s">
        <v>17</v>
      </c>
      <c r="L804" t="s">
        <v>33</v>
      </c>
      <c r="M804">
        <v>9199.7999999999993</v>
      </c>
      <c r="N804" t="str">
        <f t="shared" si="25"/>
        <v>Low</v>
      </c>
    </row>
    <row r="805" spans="1:14" x14ac:dyDescent="0.3">
      <c r="A805" t="s">
        <v>863</v>
      </c>
      <c r="B805" s="1">
        <v>45478</v>
      </c>
      <c r="C805" s="1" t="str">
        <f t="shared" si="24"/>
        <v>July</v>
      </c>
      <c r="D805" t="s">
        <v>13</v>
      </c>
      <c r="E805" t="s">
        <v>70</v>
      </c>
      <c r="F805" t="s">
        <v>15</v>
      </c>
      <c r="G805">
        <v>2</v>
      </c>
      <c r="H805">
        <v>3775.07</v>
      </c>
      <c r="I805" s="3">
        <v>0</v>
      </c>
      <c r="J805" t="s">
        <v>22</v>
      </c>
      <c r="K805" t="s">
        <v>23</v>
      </c>
      <c r="L805" t="s">
        <v>33</v>
      </c>
      <c r="M805">
        <v>7550.14</v>
      </c>
      <c r="N805" t="str">
        <f t="shared" si="25"/>
        <v>Low</v>
      </c>
    </row>
    <row r="806" spans="1:14" x14ac:dyDescent="0.3">
      <c r="A806" t="s">
        <v>864</v>
      </c>
      <c r="B806" s="1">
        <v>45581</v>
      </c>
      <c r="C806" s="1" t="str">
        <f t="shared" si="24"/>
        <v>October</v>
      </c>
      <c r="D806" t="s">
        <v>38</v>
      </c>
      <c r="E806" t="s">
        <v>51</v>
      </c>
      <c r="F806" t="s">
        <v>53</v>
      </c>
      <c r="G806">
        <v>6</v>
      </c>
      <c r="H806">
        <v>7444.83</v>
      </c>
      <c r="I806" s="3">
        <v>0.1</v>
      </c>
      <c r="J806" t="s">
        <v>16</v>
      </c>
      <c r="K806" t="s">
        <v>40</v>
      </c>
      <c r="L806" t="s">
        <v>18</v>
      </c>
      <c r="M806">
        <v>40202.080000000002</v>
      </c>
      <c r="N806" t="str">
        <f t="shared" si="25"/>
        <v>High</v>
      </c>
    </row>
    <row r="807" spans="1:14" x14ac:dyDescent="0.3">
      <c r="A807" t="s">
        <v>865</v>
      </c>
      <c r="B807" s="1">
        <v>45450</v>
      </c>
      <c r="C807" s="1" t="str">
        <f t="shared" si="24"/>
        <v>June</v>
      </c>
      <c r="D807" t="s">
        <v>20</v>
      </c>
      <c r="E807" t="s">
        <v>57</v>
      </c>
      <c r="F807" t="s">
        <v>1160</v>
      </c>
      <c r="G807">
        <v>3</v>
      </c>
      <c r="H807">
        <v>6612.94</v>
      </c>
      <c r="I807" s="3">
        <v>0.05</v>
      </c>
      <c r="J807" t="s">
        <v>22</v>
      </c>
      <c r="K807" t="s">
        <v>29</v>
      </c>
      <c r="L807" t="s">
        <v>33</v>
      </c>
      <c r="M807">
        <v>18846.88</v>
      </c>
      <c r="N807" t="str">
        <f t="shared" si="25"/>
        <v>Medium</v>
      </c>
    </row>
    <row r="808" spans="1:14" x14ac:dyDescent="0.3">
      <c r="A808" t="s">
        <v>866</v>
      </c>
      <c r="B808" s="1">
        <v>45644</v>
      </c>
      <c r="C808" s="1" t="str">
        <f t="shared" si="24"/>
        <v>December</v>
      </c>
      <c r="D808" t="s">
        <v>35</v>
      </c>
      <c r="E808" t="s">
        <v>97</v>
      </c>
      <c r="F808" t="s">
        <v>80</v>
      </c>
      <c r="G808">
        <v>5</v>
      </c>
      <c r="H808">
        <v>1595.91</v>
      </c>
      <c r="I808" s="3">
        <v>0.2</v>
      </c>
      <c r="J808" t="s">
        <v>28</v>
      </c>
      <c r="K808" t="s">
        <v>40</v>
      </c>
      <c r="L808" t="s">
        <v>33</v>
      </c>
      <c r="M808">
        <v>6383.64</v>
      </c>
      <c r="N808" t="str">
        <f t="shared" si="25"/>
        <v>Low</v>
      </c>
    </row>
    <row r="809" spans="1:14" x14ac:dyDescent="0.3">
      <c r="A809" t="s">
        <v>867</v>
      </c>
      <c r="B809" s="1">
        <v>45410</v>
      </c>
      <c r="C809" s="1" t="str">
        <f t="shared" si="24"/>
        <v>April</v>
      </c>
      <c r="D809" t="s">
        <v>25</v>
      </c>
      <c r="E809" t="s">
        <v>87</v>
      </c>
      <c r="F809" t="s">
        <v>1160</v>
      </c>
      <c r="G809">
        <v>6</v>
      </c>
      <c r="H809">
        <v>1803.39</v>
      </c>
      <c r="I809" s="3">
        <v>0.2</v>
      </c>
      <c r="J809" t="s">
        <v>16</v>
      </c>
      <c r="K809" t="s">
        <v>29</v>
      </c>
      <c r="L809" t="s">
        <v>33</v>
      </c>
      <c r="M809">
        <v>8656.27</v>
      </c>
      <c r="N809" t="str">
        <f t="shared" si="25"/>
        <v>Low</v>
      </c>
    </row>
    <row r="810" spans="1:14" x14ac:dyDescent="0.3">
      <c r="A810" t="s">
        <v>868</v>
      </c>
      <c r="B810" s="1">
        <v>45543</v>
      </c>
      <c r="C810" s="1" t="str">
        <f t="shared" si="24"/>
        <v>September</v>
      </c>
      <c r="D810" t="s">
        <v>35</v>
      </c>
      <c r="E810" t="s">
        <v>63</v>
      </c>
      <c r="F810" t="s">
        <v>80</v>
      </c>
      <c r="G810">
        <v>2</v>
      </c>
      <c r="H810">
        <v>4320.84</v>
      </c>
      <c r="I810" s="3">
        <v>0.05</v>
      </c>
      <c r="J810" t="s">
        <v>55</v>
      </c>
      <c r="K810" t="s">
        <v>17</v>
      </c>
      <c r="L810" t="s">
        <v>33</v>
      </c>
      <c r="M810">
        <v>8209.6</v>
      </c>
      <c r="N810" t="str">
        <f t="shared" si="25"/>
        <v>Low</v>
      </c>
    </row>
    <row r="811" spans="1:14" x14ac:dyDescent="0.3">
      <c r="A811" t="s">
        <v>869</v>
      </c>
      <c r="B811" s="1">
        <v>45496</v>
      </c>
      <c r="C811" s="1" t="str">
        <f t="shared" si="24"/>
        <v>July</v>
      </c>
      <c r="D811" t="s">
        <v>38</v>
      </c>
      <c r="E811" t="s">
        <v>39</v>
      </c>
      <c r="F811" t="s">
        <v>27</v>
      </c>
      <c r="G811">
        <v>4</v>
      </c>
      <c r="H811">
        <v>3938.96</v>
      </c>
      <c r="I811" s="3">
        <v>0.05</v>
      </c>
      <c r="J811" t="s">
        <v>16</v>
      </c>
      <c r="K811" t="s">
        <v>17</v>
      </c>
      <c r="L811" t="s">
        <v>33</v>
      </c>
      <c r="M811">
        <v>14968.05</v>
      </c>
      <c r="N811" t="str">
        <f t="shared" si="25"/>
        <v>Medium</v>
      </c>
    </row>
    <row r="812" spans="1:14" x14ac:dyDescent="0.3">
      <c r="A812" t="s">
        <v>870</v>
      </c>
      <c r="B812" s="1">
        <v>45363</v>
      </c>
      <c r="C812" s="1" t="str">
        <f t="shared" si="24"/>
        <v>March</v>
      </c>
      <c r="D812" t="s">
        <v>38</v>
      </c>
      <c r="E812" t="s">
        <v>51</v>
      </c>
      <c r="F812" t="s">
        <v>1160</v>
      </c>
      <c r="G812">
        <v>1</v>
      </c>
      <c r="H812">
        <v>3382.04</v>
      </c>
      <c r="I812" s="3">
        <v>0.1</v>
      </c>
      <c r="J812" t="s">
        <v>55</v>
      </c>
      <c r="K812" t="s">
        <v>49</v>
      </c>
      <c r="L812" t="s">
        <v>33</v>
      </c>
      <c r="M812">
        <v>3043.84</v>
      </c>
      <c r="N812" t="str">
        <f t="shared" si="25"/>
        <v>Low</v>
      </c>
    </row>
    <row r="813" spans="1:14" x14ac:dyDescent="0.3">
      <c r="A813" t="s">
        <v>871</v>
      </c>
      <c r="B813" s="1">
        <v>45566</v>
      </c>
      <c r="C813" s="1" t="str">
        <f t="shared" si="24"/>
        <v>October</v>
      </c>
      <c r="D813" t="s">
        <v>20</v>
      </c>
      <c r="E813" t="s">
        <v>21</v>
      </c>
      <c r="F813" t="s">
        <v>1160</v>
      </c>
      <c r="G813">
        <v>5</v>
      </c>
      <c r="H813">
        <v>3684.84</v>
      </c>
      <c r="I813" s="3">
        <v>0</v>
      </c>
      <c r="J813" t="s">
        <v>16</v>
      </c>
      <c r="K813" t="s">
        <v>49</v>
      </c>
      <c r="L813" t="s">
        <v>33</v>
      </c>
      <c r="M813">
        <v>18424.2</v>
      </c>
      <c r="N813" t="str">
        <f t="shared" si="25"/>
        <v>Medium</v>
      </c>
    </row>
    <row r="814" spans="1:14" x14ac:dyDescent="0.3">
      <c r="A814" t="s">
        <v>872</v>
      </c>
      <c r="B814" s="1">
        <v>45597</v>
      </c>
      <c r="C814" s="1" t="str">
        <f t="shared" si="24"/>
        <v>November</v>
      </c>
      <c r="D814" t="s">
        <v>38</v>
      </c>
      <c r="E814" t="s">
        <v>42</v>
      </c>
      <c r="F814" t="s">
        <v>1160</v>
      </c>
      <c r="G814">
        <v>2</v>
      </c>
      <c r="H814">
        <v>2663.28</v>
      </c>
      <c r="I814" s="3">
        <v>0.25</v>
      </c>
      <c r="J814" t="s">
        <v>16</v>
      </c>
      <c r="K814" t="s">
        <v>40</v>
      </c>
      <c r="L814" t="s">
        <v>33</v>
      </c>
      <c r="M814">
        <v>3994.92</v>
      </c>
      <c r="N814" t="str">
        <f t="shared" si="25"/>
        <v>Low</v>
      </c>
    </row>
    <row r="815" spans="1:14" x14ac:dyDescent="0.3">
      <c r="A815" t="s">
        <v>873</v>
      </c>
      <c r="B815" s="1">
        <v>45370</v>
      </c>
      <c r="C815" s="1" t="str">
        <f t="shared" si="24"/>
        <v>March</v>
      </c>
      <c r="D815" t="s">
        <v>38</v>
      </c>
      <c r="E815" t="s">
        <v>164</v>
      </c>
      <c r="F815" t="s">
        <v>32</v>
      </c>
      <c r="G815">
        <v>3</v>
      </c>
      <c r="H815">
        <v>1949.3</v>
      </c>
      <c r="I815" s="3">
        <v>0.05</v>
      </c>
      <c r="J815" t="s">
        <v>28</v>
      </c>
      <c r="K815" t="s">
        <v>49</v>
      </c>
      <c r="L815" t="s">
        <v>33</v>
      </c>
      <c r="M815">
        <v>5555.5</v>
      </c>
      <c r="N815" t="str">
        <f t="shared" si="25"/>
        <v>Low</v>
      </c>
    </row>
    <row r="816" spans="1:14" x14ac:dyDescent="0.3">
      <c r="A816" t="s">
        <v>874</v>
      </c>
      <c r="B816" s="1">
        <v>45340</v>
      </c>
      <c r="C816" s="1" t="str">
        <f t="shared" si="24"/>
        <v>February</v>
      </c>
      <c r="D816" t="s">
        <v>38</v>
      </c>
      <c r="E816" t="s">
        <v>39</v>
      </c>
      <c r="F816" t="s">
        <v>80</v>
      </c>
      <c r="G816">
        <v>2</v>
      </c>
      <c r="H816">
        <v>2210.29</v>
      </c>
      <c r="I816" s="3">
        <v>0.1</v>
      </c>
      <c r="J816" t="s">
        <v>16</v>
      </c>
      <c r="K816" t="s">
        <v>17</v>
      </c>
      <c r="L816" t="s">
        <v>33</v>
      </c>
      <c r="M816">
        <v>3978.52</v>
      </c>
      <c r="N816" t="str">
        <f t="shared" si="25"/>
        <v>Low</v>
      </c>
    </row>
    <row r="817" spans="1:14" x14ac:dyDescent="0.3">
      <c r="A817" t="s">
        <v>875</v>
      </c>
      <c r="B817" s="1">
        <v>45548</v>
      </c>
      <c r="C817" s="1" t="str">
        <f t="shared" si="24"/>
        <v>September</v>
      </c>
      <c r="D817" t="s">
        <v>13</v>
      </c>
      <c r="E817" t="s">
        <v>108</v>
      </c>
      <c r="F817" t="s">
        <v>1160</v>
      </c>
      <c r="G817">
        <v>1</v>
      </c>
      <c r="H817">
        <v>4192.7700000000004</v>
      </c>
      <c r="I817" s="3">
        <v>0</v>
      </c>
      <c r="J817" t="s">
        <v>16</v>
      </c>
      <c r="K817" t="s">
        <v>17</v>
      </c>
      <c r="L817" t="s">
        <v>33</v>
      </c>
      <c r="M817">
        <v>4192.7700000000004</v>
      </c>
      <c r="N817" t="str">
        <f t="shared" si="25"/>
        <v>Low</v>
      </c>
    </row>
    <row r="818" spans="1:14" x14ac:dyDescent="0.3">
      <c r="A818" t="s">
        <v>876</v>
      </c>
      <c r="B818" s="1">
        <v>45584</v>
      </c>
      <c r="C818" s="1" t="str">
        <f t="shared" si="24"/>
        <v>October</v>
      </c>
      <c r="D818" t="s">
        <v>38</v>
      </c>
      <c r="E818" t="s">
        <v>164</v>
      </c>
      <c r="F818" t="s">
        <v>44</v>
      </c>
      <c r="G818">
        <v>6</v>
      </c>
      <c r="H818">
        <v>2468.1</v>
      </c>
      <c r="I818" s="3">
        <v>0</v>
      </c>
      <c r="J818" t="s">
        <v>16</v>
      </c>
      <c r="K818" t="s">
        <v>17</v>
      </c>
      <c r="L818" t="s">
        <v>18</v>
      </c>
      <c r="M818">
        <v>14808.6</v>
      </c>
      <c r="N818" t="str">
        <f t="shared" si="25"/>
        <v>Medium</v>
      </c>
    </row>
    <row r="819" spans="1:14" x14ac:dyDescent="0.3">
      <c r="A819" t="s">
        <v>877</v>
      </c>
      <c r="B819" s="1">
        <v>45530</v>
      </c>
      <c r="C819" s="1" t="str">
        <f t="shared" si="24"/>
        <v>August</v>
      </c>
      <c r="D819" t="s">
        <v>13</v>
      </c>
      <c r="E819" t="s">
        <v>70</v>
      </c>
      <c r="F819" t="s">
        <v>1160</v>
      </c>
      <c r="G819">
        <v>5</v>
      </c>
      <c r="H819">
        <v>463.71</v>
      </c>
      <c r="I819" s="3">
        <v>0</v>
      </c>
      <c r="J819" t="s">
        <v>28</v>
      </c>
      <c r="K819" t="s">
        <v>49</v>
      </c>
      <c r="L819" t="s">
        <v>33</v>
      </c>
      <c r="M819">
        <v>2318.5500000000002</v>
      </c>
      <c r="N819" t="str">
        <f t="shared" si="25"/>
        <v>Low</v>
      </c>
    </row>
    <row r="820" spans="1:14" x14ac:dyDescent="0.3">
      <c r="A820" t="s">
        <v>878</v>
      </c>
      <c r="B820" s="1">
        <v>45603</v>
      </c>
      <c r="C820" s="1" t="str">
        <f t="shared" si="24"/>
        <v>November</v>
      </c>
      <c r="D820" t="s">
        <v>25</v>
      </c>
      <c r="E820" t="s">
        <v>46</v>
      </c>
      <c r="F820" t="s">
        <v>80</v>
      </c>
      <c r="G820">
        <v>4</v>
      </c>
      <c r="H820">
        <v>1056.2</v>
      </c>
      <c r="I820" s="3">
        <v>0.2</v>
      </c>
      <c r="J820" t="s">
        <v>16</v>
      </c>
      <c r="K820" t="s">
        <v>17</v>
      </c>
      <c r="L820" t="s">
        <v>33</v>
      </c>
      <c r="M820">
        <v>3379.84</v>
      </c>
      <c r="N820" t="str">
        <f t="shared" si="25"/>
        <v>Low</v>
      </c>
    </row>
    <row r="821" spans="1:14" x14ac:dyDescent="0.3">
      <c r="A821" t="s">
        <v>879</v>
      </c>
      <c r="B821" s="1">
        <v>45608</v>
      </c>
      <c r="C821" s="1" t="str">
        <f t="shared" si="24"/>
        <v>November</v>
      </c>
      <c r="D821" t="s">
        <v>13</v>
      </c>
      <c r="E821" t="s">
        <v>76</v>
      </c>
      <c r="F821" t="s">
        <v>15</v>
      </c>
      <c r="G821">
        <v>5</v>
      </c>
      <c r="H821">
        <v>3403.2</v>
      </c>
      <c r="I821" s="3">
        <v>0.1</v>
      </c>
      <c r="J821" t="s">
        <v>28</v>
      </c>
      <c r="K821" t="s">
        <v>49</v>
      </c>
      <c r="L821" t="s">
        <v>33</v>
      </c>
      <c r="M821">
        <v>15314.4</v>
      </c>
      <c r="N821" t="str">
        <f t="shared" si="25"/>
        <v>Medium</v>
      </c>
    </row>
    <row r="822" spans="1:14" x14ac:dyDescent="0.3">
      <c r="A822" t="s">
        <v>880</v>
      </c>
      <c r="B822" s="1">
        <v>45503</v>
      </c>
      <c r="C822" s="1" t="str">
        <f t="shared" si="24"/>
        <v>July</v>
      </c>
      <c r="D822" t="s">
        <v>20</v>
      </c>
      <c r="E822" t="s">
        <v>59</v>
      </c>
      <c r="F822" t="s">
        <v>1160</v>
      </c>
      <c r="G822">
        <v>1</v>
      </c>
      <c r="H822">
        <v>3435.56</v>
      </c>
      <c r="I822" s="3">
        <v>0.1</v>
      </c>
      <c r="J822" t="s">
        <v>28</v>
      </c>
      <c r="K822" t="s">
        <v>40</v>
      </c>
      <c r="L822" t="s">
        <v>33</v>
      </c>
      <c r="M822">
        <v>3092</v>
      </c>
      <c r="N822" t="str">
        <f t="shared" si="25"/>
        <v>Low</v>
      </c>
    </row>
    <row r="823" spans="1:14" x14ac:dyDescent="0.3">
      <c r="A823" t="s">
        <v>881</v>
      </c>
      <c r="B823" s="1">
        <v>45594</v>
      </c>
      <c r="C823" s="1" t="str">
        <f t="shared" si="24"/>
        <v>October</v>
      </c>
      <c r="D823" t="s">
        <v>25</v>
      </c>
      <c r="E823" t="s">
        <v>46</v>
      </c>
      <c r="F823" t="s">
        <v>15</v>
      </c>
      <c r="G823">
        <v>4</v>
      </c>
      <c r="H823">
        <v>7538.9</v>
      </c>
      <c r="I823" s="3">
        <v>0.15</v>
      </c>
      <c r="J823" t="s">
        <v>16</v>
      </c>
      <c r="K823" t="s">
        <v>17</v>
      </c>
      <c r="L823" t="s">
        <v>33</v>
      </c>
      <c r="M823">
        <v>25632.26</v>
      </c>
      <c r="N823" t="str">
        <f t="shared" si="25"/>
        <v>High</v>
      </c>
    </row>
    <row r="824" spans="1:14" x14ac:dyDescent="0.3">
      <c r="A824" t="s">
        <v>882</v>
      </c>
      <c r="B824" s="1">
        <v>45390</v>
      </c>
      <c r="C824" s="1" t="str">
        <f t="shared" si="24"/>
        <v>April</v>
      </c>
      <c r="D824" t="s">
        <v>38</v>
      </c>
      <c r="E824" t="s">
        <v>100</v>
      </c>
      <c r="F824" t="s">
        <v>32</v>
      </c>
      <c r="G824">
        <v>4</v>
      </c>
      <c r="H824">
        <v>5651.96</v>
      </c>
      <c r="I824" s="3">
        <v>0</v>
      </c>
      <c r="J824" t="s">
        <v>16</v>
      </c>
      <c r="K824" t="s">
        <v>40</v>
      </c>
      <c r="L824" t="s">
        <v>18</v>
      </c>
      <c r="M824">
        <v>22607.84</v>
      </c>
      <c r="N824" t="str">
        <f t="shared" si="25"/>
        <v>High</v>
      </c>
    </row>
    <row r="825" spans="1:14" x14ac:dyDescent="0.3">
      <c r="A825" t="s">
        <v>883</v>
      </c>
      <c r="B825" s="1">
        <v>45433</v>
      </c>
      <c r="C825" s="1" t="str">
        <f t="shared" si="24"/>
        <v>May</v>
      </c>
      <c r="D825" t="s">
        <v>35</v>
      </c>
      <c r="E825" t="s">
        <v>68</v>
      </c>
      <c r="F825" t="s">
        <v>80</v>
      </c>
      <c r="G825">
        <v>5</v>
      </c>
      <c r="H825">
        <v>836.16</v>
      </c>
      <c r="I825" s="3">
        <v>0.1</v>
      </c>
      <c r="J825" t="s">
        <v>22</v>
      </c>
      <c r="K825" t="s">
        <v>40</v>
      </c>
      <c r="L825" t="s">
        <v>18</v>
      </c>
      <c r="M825">
        <v>3762.72</v>
      </c>
      <c r="N825" t="str">
        <f t="shared" si="25"/>
        <v>Low</v>
      </c>
    </row>
    <row r="826" spans="1:14" x14ac:dyDescent="0.3">
      <c r="A826" t="s">
        <v>884</v>
      </c>
      <c r="B826" s="1">
        <v>45561</v>
      </c>
      <c r="C826" s="1" t="str">
        <f t="shared" si="24"/>
        <v>September</v>
      </c>
      <c r="D826" t="s">
        <v>35</v>
      </c>
      <c r="E826" t="s">
        <v>36</v>
      </c>
      <c r="F826" t="s">
        <v>44</v>
      </c>
      <c r="G826">
        <v>3</v>
      </c>
      <c r="H826">
        <v>2908.38</v>
      </c>
      <c r="I826" s="3">
        <v>0</v>
      </c>
      <c r="J826" t="s">
        <v>16</v>
      </c>
      <c r="K826" t="s">
        <v>17</v>
      </c>
      <c r="L826" t="s">
        <v>33</v>
      </c>
      <c r="M826">
        <v>8725.14</v>
      </c>
      <c r="N826" t="str">
        <f t="shared" si="25"/>
        <v>Low</v>
      </c>
    </row>
    <row r="827" spans="1:14" x14ac:dyDescent="0.3">
      <c r="A827" t="s">
        <v>885</v>
      </c>
      <c r="B827" s="1">
        <v>45430</v>
      </c>
      <c r="C827" s="1" t="str">
        <f t="shared" si="24"/>
        <v>May</v>
      </c>
      <c r="D827" t="s">
        <v>38</v>
      </c>
      <c r="E827" t="s">
        <v>100</v>
      </c>
      <c r="F827" t="s">
        <v>44</v>
      </c>
      <c r="G827">
        <v>2</v>
      </c>
      <c r="H827">
        <v>3064.65</v>
      </c>
      <c r="I827" s="3">
        <v>0.1</v>
      </c>
      <c r="J827" t="s">
        <v>16</v>
      </c>
      <c r="K827" t="s">
        <v>29</v>
      </c>
      <c r="L827" t="s">
        <v>18</v>
      </c>
      <c r="M827">
        <v>5516.37</v>
      </c>
      <c r="N827" t="str">
        <f t="shared" si="25"/>
        <v>Low</v>
      </c>
    </row>
    <row r="828" spans="1:14" x14ac:dyDescent="0.3">
      <c r="A828" t="s">
        <v>886</v>
      </c>
      <c r="B828" s="1">
        <v>45439</v>
      </c>
      <c r="C828" s="1" t="str">
        <f t="shared" si="24"/>
        <v>May</v>
      </c>
      <c r="D828" t="s">
        <v>25</v>
      </c>
      <c r="E828" t="s">
        <v>31</v>
      </c>
      <c r="F828" t="s">
        <v>44</v>
      </c>
      <c r="G828">
        <v>1</v>
      </c>
      <c r="H828">
        <v>2349.46</v>
      </c>
      <c r="I828" s="3">
        <v>0.25</v>
      </c>
      <c r="J828" t="s">
        <v>28</v>
      </c>
      <c r="K828" t="s">
        <v>29</v>
      </c>
      <c r="L828" t="s">
        <v>18</v>
      </c>
      <c r="M828">
        <v>1762.1</v>
      </c>
      <c r="N828" t="str">
        <f t="shared" si="25"/>
        <v>Low</v>
      </c>
    </row>
    <row r="829" spans="1:14" x14ac:dyDescent="0.3">
      <c r="A829" t="s">
        <v>887</v>
      </c>
      <c r="B829" s="1">
        <v>45426</v>
      </c>
      <c r="C829" s="1" t="str">
        <f t="shared" si="24"/>
        <v>May</v>
      </c>
      <c r="D829" t="s">
        <v>13</v>
      </c>
      <c r="E829" t="s">
        <v>14</v>
      </c>
      <c r="F829" t="s">
        <v>53</v>
      </c>
      <c r="G829">
        <v>6</v>
      </c>
      <c r="H829">
        <v>1656.7</v>
      </c>
      <c r="I829" s="3">
        <v>0.2</v>
      </c>
      <c r="J829" t="s">
        <v>16</v>
      </c>
      <c r="K829" t="s">
        <v>40</v>
      </c>
      <c r="L829" t="s">
        <v>18</v>
      </c>
      <c r="M829">
        <v>7952.16</v>
      </c>
      <c r="N829" t="str">
        <f t="shared" si="25"/>
        <v>Low</v>
      </c>
    </row>
    <row r="830" spans="1:14" x14ac:dyDescent="0.3">
      <c r="A830" t="s">
        <v>888</v>
      </c>
      <c r="B830" s="1">
        <v>45305</v>
      </c>
      <c r="C830" s="1" t="str">
        <f t="shared" si="24"/>
        <v>January</v>
      </c>
      <c r="D830" t="s">
        <v>20</v>
      </c>
      <c r="E830" t="s">
        <v>57</v>
      </c>
      <c r="F830" t="s">
        <v>15</v>
      </c>
      <c r="G830">
        <v>2</v>
      </c>
      <c r="H830">
        <v>3834.3</v>
      </c>
      <c r="I830" s="3">
        <v>0</v>
      </c>
      <c r="J830" t="s">
        <v>28</v>
      </c>
      <c r="K830" t="s">
        <v>40</v>
      </c>
      <c r="L830" t="s">
        <v>33</v>
      </c>
      <c r="M830">
        <v>7668.6</v>
      </c>
      <c r="N830" t="str">
        <f t="shared" si="25"/>
        <v>Low</v>
      </c>
    </row>
    <row r="831" spans="1:14" x14ac:dyDescent="0.3">
      <c r="A831" t="s">
        <v>889</v>
      </c>
      <c r="B831" s="1">
        <v>45503</v>
      </c>
      <c r="C831" s="1" t="str">
        <f t="shared" si="24"/>
        <v>July</v>
      </c>
      <c r="D831" t="s">
        <v>13</v>
      </c>
      <c r="E831" t="s">
        <v>76</v>
      </c>
      <c r="F831" t="s">
        <v>1160</v>
      </c>
      <c r="G831">
        <v>1</v>
      </c>
      <c r="H831">
        <v>1469.55</v>
      </c>
      <c r="I831" s="3">
        <v>0.1</v>
      </c>
      <c r="J831" t="s">
        <v>16</v>
      </c>
      <c r="K831" t="s">
        <v>40</v>
      </c>
      <c r="L831" t="s">
        <v>33</v>
      </c>
      <c r="M831">
        <v>1322.6</v>
      </c>
      <c r="N831" t="str">
        <f t="shared" si="25"/>
        <v>Low</v>
      </c>
    </row>
    <row r="832" spans="1:14" x14ac:dyDescent="0.3">
      <c r="A832" t="s">
        <v>890</v>
      </c>
      <c r="B832" s="1">
        <v>45599</v>
      </c>
      <c r="C832" s="1" t="str">
        <f t="shared" si="24"/>
        <v>November</v>
      </c>
      <c r="D832" t="s">
        <v>35</v>
      </c>
      <c r="E832" t="s">
        <v>36</v>
      </c>
      <c r="F832" t="s">
        <v>1160</v>
      </c>
      <c r="G832">
        <v>3</v>
      </c>
      <c r="H832">
        <v>2718.69</v>
      </c>
      <c r="I832" s="3">
        <v>0.2</v>
      </c>
      <c r="J832" t="s">
        <v>16</v>
      </c>
      <c r="K832" t="s">
        <v>29</v>
      </c>
      <c r="L832" t="s">
        <v>33</v>
      </c>
      <c r="M832">
        <v>6524.86</v>
      </c>
      <c r="N832" t="str">
        <f t="shared" si="25"/>
        <v>Low</v>
      </c>
    </row>
    <row r="833" spans="1:14" x14ac:dyDescent="0.3">
      <c r="A833" t="s">
        <v>891</v>
      </c>
      <c r="B833" s="1">
        <v>45508</v>
      </c>
      <c r="C833" s="1" t="str">
        <f t="shared" si="24"/>
        <v>August</v>
      </c>
      <c r="D833" t="s">
        <v>20</v>
      </c>
      <c r="E833" t="s">
        <v>78</v>
      </c>
      <c r="F833" t="s">
        <v>53</v>
      </c>
      <c r="G833">
        <v>3</v>
      </c>
      <c r="H833">
        <v>3060.96</v>
      </c>
      <c r="I833" s="3">
        <v>0</v>
      </c>
      <c r="J833" t="s">
        <v>16</v>
      </c>
      <c r="K833" t="s">
        <v>29</v>
      </c>
      <c r="L833" t="s">
        <v>33</v>
      </c>
      <c r="M833">
        <v>9182.8799999999992</v>
      </c>
      <c r="N833" t="str">
        <f t="shared" si="25"/>
        <v>Low</v>
      </c>
    </row>
    <row r="834" spans="1:14" x14ac:dyDescent="0.3">
      <c r="A834" t="s">
        <v>892</v>
      </c>
      <c r="B834" s="1">
        <v>45297</v>
      </c>
      <c r="C834" s="1" t="str">
        <f t="shared" ref="C834:C897" si="26">TEXT(B834,"mmmm")</f>
        <v>January</v>
      </c>
      <c r="D834" t="s">
        <v>38</v>
      </c>
      <c r="E834" t="s">
        <v>51</v>
      </c>
      <c r="F834" t="s">
        <v>15</v>
      </c>
      <c r="G834">
        <v>5</v>
      </c>
      <c r="H834">
        <v>3928.05</v>
      </c>
      <c r="I834" s="3">
        <v>0.15</v>
      </c>
      <c r="J834" t="s">
        <v>16</v>
      </c>
      <c r="K834" t="s">
        <v>40</v>
      </c>
      <c r="L834" t="s">
        <v>33</v>
      </c>
      <c r="M834">
        <v>16694.21</v>
      </c>
      <c r="N834" t="str">
        <f t="shared" ref="N834:N897" si="27">IF(M834&gt;20000,"High",IF(M834&gt;10000,"Medium","Low"))</f>
        <v>Medium</v>
      </c>
    </row>
    <row r="835" spans="1:14" x14ac:dyDescent="0.3">
      <c r="A835" t="s">
        <v>893</v>
      </c>
      <c r="B835" s="1">
        <v>45415</v>
      </c>
      <c r="C835" s="1" t="str">
        <f t="shared" si="26"/>
        <v>May</v>
      </c>
      <c r="D835" t="s">
        <v>35</v>
      </c>
      <c r="E835" t="s">
        <v>36</v>
      </c>
      <c r="F835" t="s">
        <v>53</v>
      </c>
      <c r="G835">
        <v>5</v>
      </c>
      <c r="H835">
        <v>3696.25</v>
      </c>
      <c r="I835" s="3">
        <v>0</v>
      </c>
      <c r="J835" t="s">
        <v>55</v>
      </c>
      <c r="K835" t="s">
        <v>29</v>
      </c>
      <c r="L835" t="s">
        <v>33</v>
      </c>
      <c r="M835">
        <v>18481.25</v>
      </c>
      <c r="N835" t="str">
        <f t="shared" si="27"/>
        <v>Medium</v>
      </c>
    </row>
    <row r="836" spans="1:14" x14ac:dyDescent="0.3">
      <c r="A836" t="s">
        <v>894</v>
      </c>
      <c r="B836" s="1">
        <v>45478</v>
      </c>
      <c r="C836" s="1" t="str">
        <f t="shared" si="26"/>
        <v>July</v>
      </c>
      <c r="D836" t="s">
        <v>38</v>
      </c>
      <c r="E836" t="s">
        <v>100</v>
      </c>
      <c r="F836" t="s">
        <v>1160</v>
      </c>
      <c r="G836">
        <v>1</v>
      </c>
      <c r="H836">
        <v>5365.72</v>
      </c>
      <c r="I836" s="3">
        <v>0.25</v>
      </c>
      <c r="J836" t="s">
        <v>16</v>
      </c>
      <c r="K836" t="s">
        <v>29</v>
      </c>
      <c r="L836" t="s">
        <v>33</v>
      </c>
      <c r="M836">
        <v>4024.29</v>
      </c>
      <c r="N836" t="str">
        <f t="shared" si="27"/>
        <v>Low</v>
      </c>
    </row>
    <row r="837" spans="1:14" x14ac:dyDescent="0.3">
      <c r="A837" t="s">
        <v>895</v>
      </c>
      <c r="B837" s="1">
        <v>45455</v>
      </c>
      <c r="C837" s="1" t="str">
        <f t="shared" si="26"/>
        <v>June</v>
      </c>
      <c r="D837" t="s">
        <v>13</v>
      </c>
      <c r="E837" t="s">
        <v>14</v>
      </c>
      <c r="F837" t="s">
        <v>44</v>
      </c>
      <c r="G837">
        <v>1</v>
      </c>
      <c r="H837">
        <v>1920.99</v>
      </c>
      <c r="I837" s="3">
        <v>0.15</v>
      </c>
      <c r="J837" t="s">
        <v>16</v>
      </c>
      <c r="K837" t="s">
        <v>23</v>
      </c>
      <c r="L837" t="s">
        <v>33</v>
      </c>
      <c r="M837">
        <v>1632.84</v>
      </c>
      <c r="N837" t="str">
        <f t="shared" si="27"/>
        <v>Low</v>
      </c>
    </row>
    <row r="838" spans="1:14" x14ac:dyDescent="0.3">
      <c r="A838" t="s">
        <v>896</v>
      </c>
      <c r="B838" s="1">
        <v>45496</v>
      </c>
      <c r="C838" s="1" t="str">
        <f t="shared" si="26"/>
        <v>July</v>
      </c>
      <c r="D838" t="s">
        <v>13</v>
      </c>
      <c r="E838" t="s">
        <v>70</v>
      </c>
      <c r="F838" t="s">
        <v>15</v>
      </c>
      <c r="G838">
        <v>5</v>
      </c>
      <c r="H838">
        <v>715.48</v>
      </c>
      <c r="I838" s="3">
        <v>0</v>
      </c>
      <c r="J838" t="s">
        <v>22</v>
      </c>
      <c r="K838" t="s">
        <v>49</v>
      </c>
      <c r="L838" t="s">
        <v>18</v>
      </c>
      <c r="M838">
        <v>3577.4</v>
      </c>
      <c r="N838" t="str">
        <f t="shared" si="27"/>
        <v>Low</v>
      </c>
    </row>
    <row r="839" spans="1:14" x14ac:dyDescent="0.3">
      <c r="A839" t="s">
        <v>897</v>
      </c>
      <c r="B839" s="1">
        <v>45503</v>
      </c>
      <c r="C839" s="1" t="str">
        <f t="shared" si="26"/>
        <v>July</v>
      </c>
      <c r="D839" t="s">
        <v>13</v>
      </c>
      <c r="E839" t="s">
        <v>108</v>
      </c>
      <c r="F839" t="s">
        <v>32</v>
      </c>
      <c r="G839">
        <v>5</v>
      </c>
      <c r="H839">
        <v>4937.34</v>
      </c>
      <c r="I839" s="3">
        <v>0.25</v>
      </c>
      <c r="J839" t="s">
        <v>55</v>
      </c>
      <c r="K839" t="s">
        <v>49</v>
      </c>
      <c r="L839" t="s">
        <v>18</v>
      </c>
      <c r="M839">
        <v>18515.03</v>
      </c>
      <c r="N839" t="str">
        <f t="shared" si="27"/>
        <v>Medium</v>
      </c>
    </row>
    <row r="840" spans="1:14" x14ac:dyDescent="0.3">
      <c r="A840" t="s">
        <v>898</v>
      </c>
      <c r="B840" s="1">
        <v>45538</v>
      </c>
      <c r="C840" s="1" t="str">
        <f t="shared" si="26"/>
        <v>September</v>
      </c>
      <c r="D840" t="s">
        <v>25</v>
      </c>
      <c r="E840" t="s">
        <v>87</v>
      </c>
      <c r="F840" t="s">
        <v>80</v>
      </c>
      <c r="G840">
        <v>4</v>
      </c>
      <c r="H840">
        <v>6841.87</v>
      </c>
      <c r="I840" s="3">
        <v>0.1</v>
      </c>
      <c r="J840" t="s">
        <v>16</v>
      </c>
      <c r="K840" t="s">
        <v>29</v>
      </c>
      <c r="L840" t="s">
        <v>33</v>
      </c>
      <c r="M840">
        <v>24630.73</v>
      </c>
      <c r="N840" t="str">
        <f t="shared" si="27"/>
        <v>High</v>
      </c>
    </row>
    <row r="841" spans="1:14" x14ac:dyDescent="0.3">
      <c r="A841" t="s">
        <v>899</v>
      </c>
      <c r="B841" s="1">
        <v>45380</v>
      </c>
      <c r="C841" s="1" t="str">
        <f t="shared" si="26"/>
        <v>March</v>
      </c>
      <c r="D841" t="s">
        <v>20</v>
      </c>
      <c r="E841" t="s">
        <v>78</v>
      </c>
      <c r="F841" t="s">
        <v>15</v>
      </c>
      <c r="G841">
        <v>4</v>
      </c>
      <c r="H841">
        <v>1145.67</v>
      </c>
      <c r="I841" s="3">
        <v>0.25</v>
      </c>
      <c r="J841" t="s">
        <v>28</v>
      </c>
      <c r="K841" t="s">
        <v>23</v>
      </c>
      <c r="L841" t="s">
        <v>33</v>
      </c>
      <c r="M841">
        <v>3437.01</v>
      </c>
      <c r="N841" t="str">
        <f t="shared" si="27"/>
        <v>Low</v>
      </c>
    </row>
    <row r="842" spans="1:14" x14ac:dyDescent="0.3">
      <c r="A842" t="s">
        <v>900</v>
      </c>
      <c r="B842" s="1">
        <v>45533</v>
      </c>
      <c r="C842" s="1" t="str">
        <f t="shared" si="26"/>
        <v>August</v>
      </c>
      <c r="D842" t="s">
        <v>35</v>
      </c>
      <c r="E842" t="s">
        <v>68</v>
      </c>
      <c r="F842" t="s">
        <v>47</v>
      </c>
      <c r="G842">
        <v>1</v>
      </c>
      <c r="H842">
        <v>5449.32</v>
      </c>
      <c r="I842" s="3">
        <v>0.2</v>
      </c>
      <c r="J842" t="s">
        <v>16</v>
      </c>
      <c r="K842" t="s">
        <v>49</v>
      </c>
      <c r="L842" t="s">
        <v>33</v>
      </c>
      <c r="M842">
        <v>4359.46</v>
      </c>
      <c r="N842" t="str">
        <f t="shared" si="27"/>
        <v>Low</v>
      </c>
    </row>
    <row r="843" spans="1:14" x14ac:dyDescent="0.3">
      <c r="A843" t="s">
        <v>901</v>
      </c>
      <c r="B843" s="1">
        <v>45465</v>
      </c>
      <c r="C843" s="1" t="str">
        <f t="shared" si="26"/>
        <v>June</v>
      </c>
      <c r="D843" t="s">
        <v>25</v>
      </c>
      <c r="E843" t="s">
        <v>87</v>
      </c>
      <c r="F843" t="s">
        <v>27</v>
      </c>
      <c r="G843">
        <v>2</v>
      </c>
      <c r="H843">
        <v>4279.4799999999996</v>
      </c>
      <c r="I843" s="3">
        <v>0.2</v>
      </c>
      <c r="J843" t="s">
        <v>16</v>
      </c>
      <c r="K843" t="s">
        <v>17</v>
      </c>
      <c r="L843" t="s">
        <v>33</v>
      </c>
      <c r="M843">
        <v>6847.17</v>
      </c>
      <c r="N843" t="str">
        <f t="shared" si="27"/>
        <v>Low</v>
      </c>
    </row>
    <row r="844" spans="1:14" x14ac:dyDescent="0.3">
      <c r="A844" t="s">
        <v>902</v>
      </c>
      <c r="B844" s="1">
        <v>45304</v>
      </c>
      <c r="C844" s="1" t="str">
        <f t="shared" si="26"/>
        <v>January</v>
      </c>
      <c r="D844" t="s">
        <v>13</v>
      </c>
      <c r="E844" t="s">
        <v>74</v>
      </c>
      <c r="F844" t="s">
        <v>47</v>
      </c>
      <c r="G844">
        <v>1</v>
      </c>
      <c r="H844">
        <v>1756.52</v>
      </c>
      <c r="I844" s="3">
        <v>0.1</v>
      </c>
      <c r="J844" t="s">
        <v>16</v>
      </c>
      <c r="K844" t="s">
        <v>40</v>
      </c>
      <c r="L844" t="s">
        <v>33</v>
      </c>
      <c r="M844">
        <v>1580.87</v>
      </c>
      <c r="N844" t="str">
        <f t="shared" si="27"/>
        <v>Low</v>
      </c>
    </row>
    <row r="845" spans="1:14" x14ac:dyDescent="0.3">
      <c r="A845" t="s">
        <v>903</v>
      </c>
      <c r="B845" s="1">
        <v>45386</v>
      </c>
      <c r="C845" s="1" t="str">
        <f t="shared" si="26"/>
        <v>April</v>
      </c>
      <c r="D845" t="s">
        <v>25</v>
      </c>
      <c r="E845" t="s">
        <v>87</v>
      </c>
      <c r="F845" t="s">
        <v>27</v>
      </c>
      <c r="G845">
        <v>1</v>
      </c>
      <c r="H845">
        <v>1901.65</v>
      </c>
      <c r="I845" s="3">
        <v>0</v>
      </c>
      <c r="J845" t="s">
        <v>16</v>
      </c>
      <c r="K845" t="s">
        <v>40</v>
      </c>
      <c r="L845" t="s">
        <v>33</v>
      </c>
      <c r="M845">
        <v>1901.65</v>
      </c>
      <c r="N845" t="str">
        <f t="shared" si="27"/>
        <v>Low</v>
      </c>
    </row>
    <row r="846" spans="1:14" x14ac:dyDescent="0.3">
      <c r="A846" t="s">
        <v>904</v>
      </c>
      <c r="B846" s="1">
        <v>45532</v>
      </c>
      <c r="C846" s="1" t="str">
        <f t="shared" si="26"/>
        <v>August</v>
      </c>
      <c r="D846" t="s">
        <v>13</v>
      </c>
      <c r="E846" t="s">
        <v>108</v>
      </c>
      <c r="F846" t="s">
        <v>27</v>
      </c>
      <c r="G846">
        <v>6</v>
      </c>
      <c r="H846">
        <v>6998.89</v>
      </c>
      <c r="I846" s="3">
        <v>0.05</v>
      </c>
      <c r="J846" t="s">
        <v>16</v>
      </c>
      <c r="K846" t="s">
        <v>29</v>
      </c>
      <c r="L846" t="s">
        <v>33</v>
      </c>
      <c r="M846">
        <v>39893.67</v>
      </c>
      <c r="N846" t="str">
        <f t="shared" si="27"/>
        <v>High</v>
      </c>
    </row>
    <row r="847" spans="1:14" x14ac:dyDescent="0.3">
      <c r="A847" t="s">
        <v>905</v>
      </c>
      <c r="B847" s="1">
        <v>45490</v>
      </c>
      <c r="C847" s="1" t="str">
        <f t="shared" si="26"/>
        <v>July</v>
      </c>
      <c r="D847" t="s">
        <v>25</v>
      </c>
      <c r="E847" t="s">
        <v>26</v>
      </c>
      <c r="F847" t="s">
        <v>80</v>
      </c>
      <c r="G847">
        <v>3</v>
      </c>
      <c r="H847">
        <v>7588.75</v>
      </c>
      <c r="I847" s="3">
        <v>0.2</v>
      </c>
      <c r="J847" t="s">
        <v>28</v>
      </c>
      <c r="K847" t="s">
        <v>17</v>
      </c>
      <c r="L847" t="s">
        <v>18</v>
      </c>
      <c r="M847">
        <v>18213</v>
      </c>
      <c r="N847" t="str">
        <f t="shared" si="27"/>
        <v>Medium</v>
      </c>
    </row>
    <row r="848" spans="1:14" x14ac:dyDescent="0.3">
      <c r="A848" t="s">
        <v>906</v>
      </c>
      <c r="B848" s="1">
        <v>45645</v>
      </c>
      <c r="C848" s="1" t="str">
        <f t="shared" si="26"/>
        <v>December</v>
      </c>
      <c r="D848" t="s">
        <v>13</v>
      </c>
      <c r="E848" t="s">
        <v>108</v>
      </c>
      <c r="F848" t="s">
        <v>80</v>
      </c>
      <c r="G848">
        <v>2</v>
      </c>
      <c r="H848">
        <v>1848.44</v>
      </c>
      <c r="I848" s="3">
        <v>0.1</v>
      </c>
      <c r="J848" t="s">
        <v>16</v>
      </c>
      <c r="K848" t="s">
        <v>49</v>
      </c>
      <c r="L848" t="s">
        <v>33</v>
      </c>
      <c r="M848">
        <v>3327.19</v>
      </c>
      <c r="N848" t="str">
        <f t="shared" si="27"/>
        <v>Low</v>
      </c>
    </row>
    <row r="849" spans="1:14" x14ac:dyDescent="0.3">
      <c r="A849" t="s">
        <v>907</v>
      </c>
      <c r="B849" s="1">
        <v>45478</v>
      </c>
      <c r="C849" s="1" t="str">
        <f t="shared" si="26"/>
        <v>July</v>
      </c>
      <c r="D849" t="s">
        <v>38</v>
      </c>
      <c r="E849" t="s">
        <v>39</v>
      </c>
      <c r="F849" t="s">
        <v>47</v>
      </c>
      <c r="G849">
        <v>2</v>
      </c>
      <c r="H849">
        <v>7750.41</v>
      </c>
      <c r="I849" s="3">
        <v>0.05</v>
      </c>
      <c r="J849" t="s">
        <v>16</v>
      </c>
      <c r="K849" t="s">
        <v>49</v>
      </c>
      <c r="L849" t="s">
        <v>18</v>
      </c>
      <c r="M849">
        <v>14725.78</v>
      </c>
      <c r="N849" t="str">
        <f t="shared" si="27"/>
        <v>Medium</v>
      </c>
    </row>
    <row r="850" spans="1:14" x14ac:dyDescent="0.3">
      <c r="A850" t="s">
        <v>908</v>
      </c>
      <c r="B850" s="1">
        <v>45403</v>
      </c>
      <c r="C850" s="1" t="str">
        <f t="shared" si="26"/>
        <v>April</v>
      </c>
      <c r="D850" t="s">
        <v>20</v>
      </c>
      <c r="E850" t="s">
        <v>57</v>
      </c>
      <c r="F850" t="s">
        <v>1160</v>
      </c>
      <c r="G850">
        <v>4</v>
      </c>
      <c r="H850">
        <v>6883.6</v>
      </c>
      <c r="I850" s="3">
        <v>0</v>
      </c>
      <c r="J850" t="s">
        <v>16</v>
      </c>
      <c r="K850" t="s">
        <v>23</v>
      </c>
      <c r="L850" t="s">
        <v>33</v>
      </c>
      <c r="M850">
        <f>Orders[[#This Row],[Quantity]]*Orders[[#This Row],[UnitPrice]]-Orders[[#This Row],[Discount%]]</f>
        <v>27534.400000000001</v>
      </c>
      <c r="N850" t="str">
        <f t="shared" si="27"/>
        <v>High</v>
      </c>
    </row>
    <row r="851" spans="1:14" x14ac:dyDescent="0.3">
      <c r="A851" t="s">
        <v>909</v>
      </c>
      <c r="B851" s="1">
        <v>45584</v>
      </c>
      <c r="C851" s="1" t="str">
        <f t="shared" si="26"/>
        <v>October</v>
      </c>
      <c r="D851" t="s">
        <v>25</v>
      </c>
      <c r="E851" t="s">
        <v>87</v>
      </c>
      <c r="F851" t="s">
        <v>27</v>
      </c>
      <c r="G851">
        <v>2</v>
      </c>
      <c r="H851">
        <v>4292.24</v>
      </c>
      <c r="I851" s="3">
        <v>0.15</v>
      </c>
      <c r="J851" t="s">
        <v>16</v>
      </c>
      <c r="K851" t="s">
        <v>23</v>
      </c>
      <c r="L851" t="s">
        <v>33</v>
      </c>
      <c r="M851">
        <v>7296.81</v>
      </c>
      <c r="N851" t="str">
        <f t="shared" si="27"/>
        <v>Low</v>
      </c>
    </row>
    <row r="852" spans="1:14" x14ac:dyDescent="0.3">
      <c r="A852" t="s">
        <v>910</v>
      </c>
      <c r="B852" s="1">
        <v>45395</v>
      </c>
      <c r="C852" s="1" t="str">
        <f t="shared" si="26"/>
        <v>April</v>
      </c>
      <c r="D852" t="s">
        <v>13</v>
      </c>
      <c r="E852" t="s">
        <v>14</v>
      </c>
      <c r="F852" t="s">
        <v>32</v>
      </c>
      <c r="G852">
        <v>4</v>
      </c>
      <c r="H852">
        <v>7491.71</v>
      </c>
      <c r="I852" s="3">
        <v>0</v>
      </c>
      <c r="J852" t="s">
        <v>28</v>
      </c>
      <c r="K852" t="s">
        <v>17</v>
      </c>
      <c r="L852" t="s">
        <v>33</v>
      </c>
      <c r="M852">
        <v>29966.84</v>
      </c>
      <c r="N852" t="str">
        <f t="shared" si="27"/>
        <v>High</v>
      </c>
    </row>
    <row r="853" spans="1:14" x14ac:dyDescent="0.3">
      <c r="A853" t="s">
        <v>911</v>
      </c>
      <c r="B853" s="1">
        <v>45386</v>
      </c>
      <c r="C853" s="1" t="str">
        <f t="shared" si="26"/>
        <v>April</v>
      </c>
      <c r="D853" t="s">
        <v>13</v>
      </c>
      <c r="E853" t="s">
        <v>108</v>
      </c>
      <c r="F853" t="s">
        <v>15</v>
      </c>
      <c r="G853">
        <v>5</v>
      </c>
      <c r="H853">
        <v>4894.7700000000004</v>
      </c>
      <c r="I853" s="3">
        <v>0.1</v>
      </c>
      <c r="J853" t="s">
        <v>28</v>
      </c>
      <c r="K853" t="s">
        <v>49</v>
      </c>
      <c r="L853" t="s">
        <v>33</v>
      </c>
      <c r="M853">
        <v>22026.47</v>
      </c>
      <c r="N853" t="str">
        <f t="shared" si="27"/>
        <v>High</v>
      </c>
    </row>
    <row r="854" spans="1:14" x14ac:dyDescent="0.3">
      <c r="A854" t="s">
        <v>912</v>
      </c>
      <c r="B854" s="1">
        <v>45438</v>
      </c>
      <c r="C854" s="1" t="str">
        <f t="shared" si="26"/>
        <v>May</v>
      </c>
      <c r="D854" t="s">
        <v>20</v>
      </c>
      <c r="E854" t="s">
        <v>59</v>
      </c>
      <c r="F854" t="s">
        <v>53</v>
      </c>
      <c r="G854">
        <v>6</v>
      </c>
      <c r="H854">
        <v>4312.5200000000004</v>
      </c>
      <c r="I854" s="3">
        <v>0.2</v>
      </c>
      <c r="J854" t="s">
        <v>55</v>
      </c>
      <c r="K854" t="s">
        <v>29</v>
      </c>
      <c r="L854" t="s">
        <v>33</v>
      </c>
      <c r="M854">
        <f>Orders[[#This Row],[Quantity]]*Orders[[#This Row],[UnitPrice]]-Orders[[#This Row],[Discount%]]</f>
        <v>25874.920000000002</v>
      </c>
      <c r="N854" t="str">
        <f t="shared" si="27"/>
        <v>High</v>
      </c>
    </row>
    <row r="855" spans="1:14" x14ac:dyDescent="0.3">
      <c r="A855" t="s">
        <v>913</v>
      </c>
      <c r="B855" s="1">
        <v>45511</v>
      </c>
      <c r="C855" s="1" t="str">
        <f t="shared" si="26"/>
        <v>August</v>
      </c>
      <c r="D855" t="s">
        <v>13</v>
      </c>
      <c r="E855" t="s">
        <v>76</v>
      </c>
      <c r="F855" t="s">
        <v>80</v>
      </c>
      <c r="G855">
        <v>1</v>
      </c>
      <c r="H855">
        <v>3245.4</v>
      </c>
      <c r="I855" s="3">
        <v>0</v>
      </c>
      <c r="J855" t="s">
        <v>28</v>
      </c>
      <c r="K855" t="s">
        <v>17</v>
      </c>
      <c r="L855" t="s">
        <v>33</v>
      </c>
      <c r="M855">
        <v>3245.4</v>
      </c>
      <c r="N855" t="str">
        <f t="shared" si="27"/>
        <v>Low</v>
      </c>
    </row>
    <row r="856" spans="1:14" x14ac:dyDescent="0.3">
      <c r="A856" t="s">
        <v>914</v>
      </c>
      <c r="B856" s="1">
        <v>45473</v>
      </c>
      <c r="C856" s="1" t="str">
        <f t="shared" si="26"/>
        <v>June</v>
      </c>
      <c r="D856" t="s">
        <v>20</v>
      </c>
      <c r="E856" t="s">
        <v>61</v>
      </c>
      <c r="F856" t="s">
        <v>44</v>
      </c>
      <c r="G856">
        <v>2</v>
      </c>
      <c r="H856">
        <v>7262.99</v>
      </c>
      <c r="I856" s="3">
        <v>0</v>
      </c>
      <c r="J856" t="s">
        <v>16</v>
      </c>
      <c r="K856" t="s">
        <v>17</v>
      </c>
      <c r="L856" t="s">
        <v>33</v>
      </c>
      <c r="M856">
        <v>14525.98</v>
      </c>
      <c r="N856" t="str">
        <f t="shared" si="27"/>
        <v>Medium</v>
      </c>
    </row>
    <row r="857" spans="1:14" x14ac:dyDescent="0.3">
      <c r="A857" t="s">
        <v>915</v>
      </c>
      <c r="B857" s="1">
        <v>45597</v>
      </c>
      <c r="C857" s="1" t="str">
        <f t="shared" si="26"/>
        <v>November</v>
      </c>
      <c r="D857" t="s">
        <v>38</v>
      </c>
      <c r="E857" t="s">
        <v>164</v>
      </c>
      <c r="F857" t="s">
        <v>15</v>
      </c>
      <c r="G857">
        <v>4</v>
      </c>
      <c r="H857">
        <v>5270.33</v>
      </c>
      <c r="I857" s="3">
        <v>0.1</v>
      </c>
      <c r="J857" t="s">
        <v>55</v>
      </c>
      <c r="K857" t="s">
        <v>17</v>
      </c>
      <c r="L857" t="s">
        <v>33</v>
      </c>
      <c r="M857">
        <v>18973.189999999999</v>
      </c>
      <c r="N857" t="str">
        <f t="shared" si="27"/>
        <v>Medium</v>
      </c>
    </row>
    <row r="858" spans="1:14" x14ac:dyDescent="0.3">
      <c r="A858" t="s">
        <v>916</v>
      </c>
      <c r="B858" s="1">
        <v>45601</v>
      </c>
      <c r="C858" s="1" t="str">
        <f t="shared" si="26"/>
        <v>November</v>
      </c>
      <c r="D858" t="s">
        <v>13</v>
      </c>
      <c r="E858" t="s">
        <v>74</v>
      </c>
      <c r="F858" t="s">
        <v>15</v>
      </c>
      <c r="G858">
        <v>4</v>
      </c>
      <c r="H858">
        <v>5326.71</v>
      </c>
      <c r="I858" s="3">
        <v>0.2</v>
      </c>
      <c r="J858" t="s">
        <v>22</v>
      </c>
      <c r="K858" t="s">
        <v>17</v>
      </c>
      <c r="L858" t="s">
        <v>33</v>
      </c>
      <c r="M858">
        <v>17045.47</v>
      </c>
      <c r="N858" t="str">
        <f t="shared" si="27"/>
        <v>Medium</v>
      </c>
    </row>
    <row r="859" spans="1:14" x14ac:dyDescent="0.3">
      <c r="A859" t="s">
        <v>917</v>
      </c>
      <c r="B859" s="1">
        <v>45535</v>
      </c>
      <c r="C859" s="1" t="str">
        <f t="shared" si="26"/>
        <v>August</v>
      </c>
      <c r="D859" t="s">
        <v>20</v>
      </c>
      <c r="E859" t="s">
        <v>57</v>
      </c>
      <c r="F859" t="s">
        <v>53</v>
      </c>
      <c r="G859">
        <v>1</v>
      </c>
      <c r="H859">
        <v>1509.89</v>
      </c>
      <c r="I859" s="3">
        <v>0.15</v>
      </c>
      <c r="J859" t="s">
        <v>16</v>
      </c>
      <c r="K859" t="s">
        <v>40</v>
      </c>
      <c r="L859" t="s">
        <v>33</v>
      </c>
      <c r="M859">
        <v>1283.4100000000001</v>
      </c>
      <c r="N859" t="str">
        <f t="shared" si="27"/>
        <v>Low</v>
      </c>
    </row>
    <row r="860" spans="1:14" x14ac:dyDescent="0.3">
      <c r="A860" t="s">
        <v>918</v>
      </c>
      <c r="B860" s="1">
        <v>45614</v>
      </c>
      <c r="C860" s="1" t="str">
        <f t="shared" si="26"/>
        <v>November</v>
      </c>
      <c r="D860" t="s">
        <v>20</v>
      </c>
      <c r="E860" t="s">
        <v>57</v>
      </c>
      <c r="F860" t="s">
        <v>80</v>
      </c>
      <c r="G860">
        <v>2</v>
      </c>
      <c r="H860">
        <v>4797.34</v>
      </c>
      <c r="I860" s="3">
        <v>0.2</v>
      </c>
      <c r="J860" t="s">
        <v>55</v>
      </c>
      <c r="K860" t="s">
        <v>29</v>
      </c>
      <c r="L860" t="s">
        <v>33</v>
      </c>
      <c r="M860">
        <v>7675.74</v>
      </c>
      <c r="N860" t="str">
        <f t="shared" si="27"/>
        <v>Low</v>
      </c>
    </row>
    <row r="861" spans="1:14" x14ac:dyDescent="0.3">
      <c r="A861" t="s">
        <v>919</v>
      </c>
      <c r="B861" s="1">
        <v>45499</v>
      </c>
      <c r="C861" s="1" t="str">
        <f t="shared" si="26"/>
        <v>July</v>
      </c>
      <c r="D861" t="s">
        <v>38</v>
      </c>
      <c r="E861" t="s">
        <v>51</v>
      </c>
      <c r="F861" t="s">
        <v>15</v>
      </c>
      <c r="G861">
        <v>5</v>
      </c>
      <c r="H861">
        <v>3656.2</v>
      </c>
      <c r="I861" s="3">
        <v>0</v>
      </c>
      <c r="J861" t="s">
        <v>55</v>
      </c>
      <c r="K861" t="s">
        <v>49</v>
      </c>
      <c r="L861" t="s">
        <v>33</v>
      </c>
      <c r="M861">
        <v>18281</v>
      </c>
      <c r="N861" t="str">
        <f t="shared" si="27"/>
        <v>Medium</v>
      </c>
    </row>
    <row r="862" spans="1:14" x14ac:dyDescent="0.3">
      <c r="A862" t="s">
        <v>920</v>
      </c>
      <c r="B862" s="1">
        <v>45401</v>
      </c>
      <c r="C862" s="1" t="str">
        <f t="shared" si="26"/>
        <v>April</v>
      </c>
      <c r="D862" t="s">
        <v>38</v>
      </c>
      <c r="E862" t="s">
        <v>51</v>
      </c>
      <c r="F862" t="s">
        <v>15</v>
      </c>
      <c r="G862">
        <v>2</v>
      </c>
      <c r="H862">
        <v>214.86</v>
      </c>
      <c r="I862" s="3">
        <v>0.2</v>
      </c>
      <c r="J862" t="s">
        <v>16</v>
      </c>
      <c r="K862" t="s">
        <v>40</v>
      </c>
      <c r="L862" t="s">
        <v>33</v>
      </c>
      <c r="M862">
        <v>343.78</v>
      </c>
      <c r="N862" t="str">
        <f t="shared" si="27"/>
        <v>Low</v>
      </c>
    </row>
    <row r="863" spans="1:14" x14ac:dyDescent="0.3">
      <c r="A863" t="s">
        <v>921</v>
      </c>
      <c r="B863" s="1">
        <v>45527</v>
      </c>
      <c r="C863" s="1" t="str">
        <f t="shared" si="26"/>
        <v>August</v>
      </c>
      <c r="D863" t="s">
        <v>38</v>
      </c>
      <c r="E863" t="s">
        <v>51</v>
      </c>
      <c r="F863" t="s">
        <v>15</v>
      </c>
      <c r="G863">
        <v>1</v>
      </c>
      <c r="H863">
        <v>1182.5999999999999</v>
      </c>
      <c r="I863" s="3">
        <v>0.1</v>
      </c>
      <c r="J863" t="s">
        <v>16</v>
      </c>
      <c r="K863" t="s">
        <v>40</v>
      </c>
      <c r="L863" t="s">
        <v>18</v>
      </c>
      <c r="M863">
        <v>1064.3399999999999</v>
      </c>
      <c r="N863" t="str">
        <f t="shared" si="27"/>
        <v>Low</v>
      </c>
    </row>
    <row r="864" spans="1:14" x14ac:dyDescent="0.3">
      <c r="A864" t="s">
        <v>922</v>
      </c>
      <c r="B864" s="1">
        <v>45653</v>
      </c>
      <c r="C864" s="1" t="str">
        <f t="shared" si="26"/>
        <v>December</v>
      </c>
      <c r="D864" t="s">
        <v>25</v>
      </c>
      <c r="E864" t="s">
        <v>26</v>
      </c>
      <c r="F864" t="s">
        <v>15</v>
      </c>
      <c r="G864">
        <v>3</v>
      </c>
      <c r="H864">
        <v>572.30999999999995</v>
      </c>
      <c r="I864" s="3">
        <v>0</v>
      </c>
      <c r="J864" t="s">
        <v>16</v>
      </c>
      <c r="K864" t="s">
        <v>49</v>
      </c>
      <c r="L864" t="s">
        <v>33</v>
      </c>
      <c r="M864">
        <v>1716.93</v>
      </c>
      <c r="N864" t="str">
        <f t="shared" si="27"/>
        <v>Low</v>
      </c>
    </row>
    <row r="865" spans="1:14" x14ac:dyDescent="0.3">
      <c r="A865" t="s">
        <v>923</v>
      </c>
      <c r="B865" s="1">
        <v>45337</v>
      </c>
      <c r="C865" s="1" t="str">
        <f t="shared" si="26"/>
        <v>February</v>
      </c>
      <c r="D865" t="s">
        <v>20</v>
      </c>
      <c r="E865" t="s">
        <v>21</v>
      </c>
      <c r="F865" t="s">
        <v>15</v>
      </c>
      <c r="G865">
        <v>4</v>
      </c>
      <c r="H865">
        <v>4238.09</v>
      </c>
      <c r="I865" s="3">
        <v>0.1</v>
      </c>
      <c r="J865" t="s">
        <v>16</v>
      </c>
      <c r="K865" t="s">
        <v>17</v>
      </c>
      <c r="L865" t="s">
        <v>18</v>
      </c>
      <c r="M865">
        <v>15257.12</v>
      </c>
      <c r="N865" t="str">
        <f t="shared" si="27"/>
        <v>Medium</v>
      </c>
    </row>
    <row r="866" spans="1:14" x14ac:dyDescent="0.3">
      <c r="A866" t="s">
        <v>924</v>
      </c>
      <c r="B866" s="1">
        <v>45460</v>
      </c>
      <c r="C866" s="1" t="str">
        <f t="shared" si="26"/>
        <v>June</v>
      </c>
      <c r="D866" t="s">
        <v>25</v>
      </c>
      <c r="E866" t="s">
        <v>26</v>
      </c>
      <c r="F866" t="s">
        <v>44</v>
      </c>
      <c r="G866">
        <v>5</v>
      </c>
      <c r="H866">
        <v>6668.02</v>
      </c>
      <c r="I866" s="3">
        <v>0</v>
      </c>
      <c r="J866" t="s">
        <v>16</v>
      </c>
      <c r="K866" t="s">
        <v>40</v>
      </c>
      <c r="L866" t="s">
        <v>18</v>
      </c>
      <c r="M866">
        <v>33340.1</v>
      </c>
      <c r="N866" t="str">
        <f t="shared" si="27"/>
        <v>High</v>
      </c>
    </row>
    <row r="867" spans="1:14" x14ac:dyDescent="0.3">
      <c r="A867" t="s">
        <v>925</v>
      </c>
      <c r="B867" s="1">
        <v>45594</v>
      </c>
      <c r="C867" s="1" t="str">
        <f t="shared" si="26"/>
        <v>October</v>
      </c>
      <c r="D867" t="s">
        <v>13</v>
      </c>
      <c r="E867" t="s">
        <v>108</v>
      </c>
      <c r="F867" t="s">
        <v>80</v>
      </c>
      <c r="G867">
        <v>1</v>
      </c>
      <c r="H867">
        <v>7012.39</v>
      </c>
      <c r="I867" s="3">
        <v>0.05</v>
      </c>
      <c r="J867" t="s">
        <v>16</v>
      </c>
      <c r="K867" t="s">
        <v>17</v>
      </c>
      <c r="L867" t="s">
        <v>33</v>
      </c>
      <c r="M867">
        <v>6661.77</v>
      </c>
      <c r="N867" t="str">
        <f t="shared" si="27"/>
        <v>Low</v>
      </c>
    </row>
    <row r="868" spans="1:14" x14ac:dyDescent="0.3">
      <c r="A868" t="s">
        <v>926</v>
      </c>
      <c r="B868" s="1">
        <v>45587</v>
      </c>
      <c r="C868" s="1" t="str">
        <f t="shared" si="26"/>
        <v>October</v>
      </c>
      <c r="D868" t="s">
        <v>20</v>
      </c>
      <c r="E868" t="s">
        <v>21</v>
      </c>
      <c r="F868" t="s">
        <v>1160</v>
      </c>
      <c r="G868">
        <v>5</v>
      </c>
      <c r="H868">
        <v>3338.97</v>
      </c>
      <c r="I868" s="3">
        <v>0.1</v>
      </c>
      <c r="J868" t="s">
        <v>16</v>
      </c>
      <c r="K868" t="s">
        <v>17</v>
      </c>
      <c r="L868" t="s">
        <v>33</v>
      </c>
      <c r="M868">
        <v>15025.36</v>
      </c>
      <c r="N868" t="str">
        <f t="shared" si="27"/>
        <v>Medium</v>
      </c>
    </row>
    <row r="869" spans="1:14" x14ac:dyDescent="0.3">
      <c r="A869" t="s">
        <v>927</v>
      </c>
      <c r="B869" s="1">
        <v>45630</v>
      </c>
      <c r="C869" s="1" t="str">
        <f t="shared" si="26"/>
        <v>December</v>
      </c>
      <c r="D869" t="s">
        <v>13</v>
      </c>
      <c r="E869" t="s">
        <v>70</v>
      </c>
      <c r="F869" t="s">
        <v>32</v>
      </c>
      <c r="G869">
        <v>1</v>
      </c>
      <c r="H869">
        <v>6893.57</v>
      </c>
      <c r="I869" s="3">
        <v>0.2</v>
      </c>
      <c r="J869" t="s">
        <v>16</v>
      </c>
      <c r="K869" t="s">
        <v>23</v>
      </c>
      <c r="L869" t="s">
        <v>18</v>
      </c>
      <c r="M869">
        <v>5514.86</v>
      </c>
      <c r="N869" t="str">
        <f t="shared" si="27"/>
        <v>Low</v>
      </c>
    </row>
    <row r="870" spans="1:14" x14ac:dyDescent="0.3">
      <c r="A870" t="s">
        <v>928</v>
      </c>
      <c r="B870" s="1">
        <v>45583</v>
      </c>
      <c r="C870" s="1" t="str">
        <f t="shared" si="26"/>
        <v>October</v>
      </c>
      <c r="D870" t="s">
        <v>20</v>
      </c>
      <c r="E870" t="s">
        <v>21</v>
      </c>
      <c r="F870" t="s">
        <v>27</v>
      </c>
      <c r="G870">
        <v>5</v>
      </c>
      <c r="H870">
        <v>2281.39</v>
      </c>
      <c r="I870" s="3">
        <v>0.1</v>
      </c>
      <c r="J870" t="s">
        <v>16</v>
      </c>
      <c r="K870" t="s">
        <v>49</v>
      </c>
      <c r="L870" t="s">
        <v>18</v>
      </c>
      <c r="M870">
        <v>10266.25</v>
      </c>
      <c r="N870" t="str">
        <f t="shared" si="27"/>
        <v>Medium</v>
      </c>
    </row>
    <row r="871" spans="1:14" x14ac:dyDescent="0.3">
      <c r="A871" t="s">
        <v>929</v>
      </c>
      <c r="B871" s="1">
        <v>45388</v>
      </c>
      <c r="C871" s="1" t="str">
        <f t="shared" si="26"/>
        <v>April</v>
      </c>
      <c r="D871" t="s">
        <v>20</v>
      </c>
      <c r="E871" t="s">
        <v>78</v>
      </c>
      <c r="F871" t="s">
        <v>27</v>
      </c>
      <c r="G871">
        <v>5</v>
      </c>
      <c r="H871">
        <v>3639.26</v>
      </c>
      <c r="I871" s="3">
        <v>0.1</v>
      </c>
      <c r="J871" t="s">
        <v>22</v>
      </c>
      <c r="K871" t="s">
        <v>49</v>
      </c>
      <c r="L871" t="s">
        <v>33</v>
      </c>
      <c r="M871">
        <v>16376.67</v>
      </c>
      <c r="N871" t="str">
        <f t="shared" si="27"/>
        <v>Medium</v>
      </c>
    </row>
    <row r="872" spans="1:14" x14ac:dyDescent="0.3">
      <c r="A872" t="s">
        <v>930</v>
      </c>
      <c r="B872" s="1">
        <v>45552</v>
      </c>
      <c r="C872" s="1" t="str">
        <f t="shared" si="26"/>
        <v>September</v>
      </c>
      <c r="D872" t="s">
        <v>13</v>
      </c>
      <c r="E872" t="s">
        <v>70</v>
      </c>
      <c r="F872" t="s">
        <v>27</v>
      </c>
      <c r="G872">
        <v>4</v>
      </c>
      <c r="H872">
        <v>7789.26</v>
      </c>
      <c r="I872" s="3">
        <v>0</v>
      </c>
      <c r="J872" t="s">
        <v>28</v>
      </c>
      <c r="K872" t="s">
        <v>40</v>
      </c>
      <c r="L872" t="s">
        <v>33</v>
      </c>
      <c r="M872">
        <v>31157.040000000001</v>
      </c>
      <c r="N872" t="str">
        <f t="shared" si="27"/>
        <v>High</v>
      </c>
    </row>
    <row r="873" spans="1:14" x14ac:dyDescent="0.3">
      <c r="A873" t="s">
        <v>931</v>
      </c>
      <c r="B873" s="1">
        <v>45626</v>
      </c>
      <c r="C873" s="1" t="str">
        <f t="shared" si="26"/>
        <v>November</v>
      </c>
      <c r="D873" t="s">
        <v>13</v>
      </c>
      <c r="E873" t="s">
        <v>14</v>
      </c>
      <c r="F873" t="s">
        <v>44</v>
      </c>
      <c r="G873">
        <v>1</v>
      </c>
      <c r="H873">
        <v>6848</v>
      </c>
      <c r="I873" s="3">
        <v>0</v>
      </c>
      <c r="J873" t="s">
        <v>16</v>
      </c>
      <c r="K873" t="s">
        <v>23</v>
      </c>
      <c r="L873" t="s">
        <v>33</v>
      </c>
      <c r="M873">
        <v>6848</v>
      </c>
      <c r="N873" t="str">
        <f t="shared" si="27"/>
        <v>Low</v>
      </c>
    </row>
    <row r="874" spans="1:14" x14ac:dyDescent="0.3">
      <c r="A874" t="s">
        <v>932</v>
      </c>
      <c r="B874" s="1">
        <v>45601</v>
      </c>
      <c r="C874" s="1" t="str">
        <f t="shared" si="26"/>
        <v>November</v>
      </c>
      <c r="D874" t="s">
        <v>38</v>
      </c>
      <c r="E874" t="s">
        <v>51</v>
      </c>
      <c r="F874" t="s">
        <v>15</v>
      </c>
      <c r="G874">
        <v>2</v>
      </c>
      <c r="H874">
        <v>848.46</v>
      </c>
      <c r="I874" s="3">
        <v>0.15</v>
      </c>
      <c r="J874" t="s">
        <v>22</v>
      </c>
      <c r="K874" t="s">
        <v>49</v>
      </c>
      <c r="L874" t="s">
        <v>18</v>
      </c>
      <c r="M874">
        <v>1442.38</v>
      </c>
      <c r="N874" t="str">
        <f t="shared" si="27"/>
        <v>Low</v>
      </c>
    </row>
    <row r="875" spans="1:14" x14ac:dyDescent="0.3">
      <c r="A875" t="s">
        <v>933</v>
      </c>
      <c r="B875" s="1">
        <v>45580</v>
      </c>
      <c r="C875" s="1" t="str">
        <f t="shared" si="26"/>
        <v>October</v>
      </c>
      <c r="D875" t="s">
        <v>35</v>
      </c>
      <c r="E875" t="s">
        <v>68</v>
      </c>
      <c r="F875" t="s">
        <v>53</v>
      </c>
      <c r="G875">
        <v>1</v>
      </c>
      <c r="H875">
        <v>2246.25</v>
      </c>
      <c r="I875" s="3">
        <v>0.05</v>
      </c>
      <c r="J875" t="s">
        <v>22</v>
      </c>
      <c r="K875" t="s">
        <v>49</v>
      </c>
      <c r="L875" t="s">
        <v>33</v>
      </c>
      <c r="M875">
        <v>2133.94</v>
      </c>
      <c r="N875" t="str">
        <f t="shared" si="27"/>
        <v>Low</v>
      </c>
    </row>
    <row r="876" spans="1:14" x14ac:dyDescent="0.3">
      <c r="A876" t="s">
        <v>934</v>
      </c>
      <c r="B876" s="1">
        <v>45345</v>
      </c>
      <c r="C876" s="1" t="str">
        <f t="shared" si="26"/>
        <v>February</v>
      </c>
      <c r="D876" t="s">
        <v>38</v>
      </c>
      <c r="E876" t="s">
        <v>42</v>
      </c>
      <c r="F876" t="s">
        <v>15</v>
      </c>
      <c r="G876">
        <v>2</v>
      </c>
      <c r="H876">
        <v>3328.59</v>
      </c>
      <c r="I876" s="3">
        <v>0.2</v>
      </c>
      <c r="J876" t="s">
        <v>22</v>
      </c>
      <c r="K876" t="s">
        <v>17</v>
      </c>
      <c r="L876" t="s">
        <v>33</v>
      </c>
      <c r="M876">
        <v>5325.74</v>
      </c>
      <c r="N876" t="str">
        <f t="shared" si="27"/>
        <v>Low</v>
      </c>
    </row>
    <row r="877" spans="1:14" x14ac:dyDescent="0.3">
      <c r="A877" t="s">
        <v>935</v>
      </c>
      <c r="B877" s="1">
        <v>45407</v>
      </c>
      <c r="C877" s="1" t="str">
        <f t="shared" si="26"/>
        <v>April</v>
      </c>
      <c r="D877" t="s">
        <v>35</v>
      </c>
      <c r="E877" t="s">
        <v>63</v>
      </c>
      <c r="F877" t="s">
        <v>44</v>
      </c>
      <c r="G877">
        <v>2</v>
      </c>
      <c r="H877">
        <v>2144.84</v>
      </c>
      <c r="I877" s="3">
        <v>0.15</v>
      </c>
      <c r="J877" t="s">
        <v>16</v>
      </c>
      <c r="K877" t="s">
        <v>29</v>
      </c>
      <c r="L877" t="s">
        <v>33</v>
      </c>
      <c r="M877">
        <v>3646.23</v>
      </c>
      <c r="N877" t="str">
        <f t="shared" si="27"/>
        <v>Low</v>
      </c>
    </row>
    <row r="878" spans="1:14" x14ac:dyDescent="0.3">
      <c r="A878" t="s">
        <v>936</v>
      </c>
      <c r="B878" s="1">
        <v>45588</v>
      </c>
      <c r="C878" s="1" t="str">
        <f t="shared" si="26"/>
        <v>October</v>
      </c>
      <c r="D878" t="s">
        <v>13</v>
      </c>
      <c r="E878" t="s">
        <v>14</v>
      </c>
      <c r="F878" t="s">
        <v>15</v>
      </c>
      <c r="G878">
        <v>2</v>
      </c>
      <c r="H878">
        <v>2088.85</v>
      </c>
      <c r="I878" s="3">
        <v>0.2</v>
      </c>
      <c r="J878" t="s">
        <v>16</v>
      </c>
      <c r="K878" t="s">
        <v>17</v>
      </c>
      <c r="L878" t="s">
        <v>33</v>
      </c>
      <c r="M878">
        <v>3342.16</v>
      </c>
      <c r="N878" t="str">
        <f t="shared" si="27"/>
        <v>Low</v>
      </c>
    </row>
    <row r="879" spans="1:14" x14ac:dyDescent="0.3">
      <c r="A879" t="s">
        <v>937</v>
      </c>
      <c r="B879" s="1">
        <v>45423</v>
      </c>
      <c r="C879" s="1" t="str">
        <f t="shared" si="26"/>
        <v>May</v>
      </c>
      <c r="D879" t="s">
        <v>13</v>
      </c>
      <c r="E879" t="s">
        <v>108</v>
      </c>
      <c r="F879" t="s">
        <v>1160</v>
      </c>
      <c r="G879">
        <v>5</v>
      </c>
      <c r="H879">
        <v>4282.59</v>
      </c>
      <c r="I879" s="3">
        <v>0.1</v>
      </c>
      <c r="J879" t="s">
        <v>16</v>
      </c>
      <c r="K879" t="s">
        <v>40</v>
      </c>
      <c r="L879" t="s">
        <v>18</v>
      </c>
      <c r="M879">
        <v>19271.66</v>
      </c>
      <c r="N879" t="str">
        <f t="shared" si="27"/>
        <v>Medium</v>
      </c>
    </row>
    <row r="880" spans="1:14" x14ac:dyDescent="0.3">
      <c r="A880" t="s">
        <v>938</v>
      </c>
      <c r="B880" s="1">
        <v>45591</v>
      </c>
      <c r="C880" s="1" t="str">
        <f t="shared" si="26"/>
        <v>October</v>
      </c>
      <c r="D880" t="s">
        <v>35</v>
      </c>
      <c r="E880" t="s">
        <v>63</v>
      </c>
      <c r="F880" t="s">
        <v>1160</v>
      </c>
      <c r="G880">
        <v>2</v>
      </c>
      <c r="H880">
        <v>4674.4799999999996</v>
      </c>
      <c r="I880" s="3">
        <v>0.05</v>
      </c>
      <c r="J880" t="s">
        <v>16</v>
      </c>
      <c r="K880" t="s">
        <v>40</v>
      </c>
      <c r="L880" t="s">
        <v>33</v>
      </c>
      <c r="M880">
        <v>8881.51</v>
      </c>
      <c r="N880" t="str">
        <f t="shared" si="27"/>
        <v>Low</v>
      </c>
    </row>
    <row r="881" spans="1:14" x14ac:dyDescent="0.3">
      <c r="A881" t="s">
        <v>939</v>
      </c>
      <c r="B881" s="1">
        <v>45441</v>
      </c>
      <c r="C881" s="1" t="str">
        <f t="shared" si="26"/>
        <v>May</v>
      </c>
      <c r="D881" t="s">
        <v>20</v>
      </c>
      <c r="E881" t="s">
        <v>57</v>
      </c>
      <c r="F881" t="s">
        <v>47</v>
      </c>
      <c r="G881">
        <v>4</v>
      </c>
      <c r="H881">
        <v>4390.1499999999996</v>
      </c>
      <c r="I881" s="3">
        <v>0.25</v>
      </c>
      <c r="J881" t="s">
        <v>28</v>
      </c>
      <c r="K881" t="s">
        <v>40</v>
      </c>
      <c r="L881" t="s">
        <v>33</v>
      </c>
      <c r="M881">
        <v>13170.45</v>
      </c>
      <c r="N881" t="str">
        <f t="shared" si="27"/>
        <v>Medium</v>
      </c>
    </row>
    <row r="882" spans="1:14" x14ac:dyDescent="0.3">
      <c r="A882" t="s">
        <v>940</v>
      </c>
      <c r="B882" s="1">
        <v>45482</v>
      </c>
      <c r="C882" s="1" t="str">
        <f t="shared" si="26"/>
        <v>July</v>
      </c>
      <c r="D882" t="s">
        <v>38</v>
      </c>
      <c r="E882" t="s">
        <v>39</v>
      </c>
      <c r="F882" t="s">
        <v>27</v>
      </c>
      <c r="G882">
        <v>5</v>
      </c>
      <c r="H882">
        <v>6794.79</v>
      </c>
      <c r="I882" s="3">
        <v>0.1</v>
      </c>
      <c r="J882" t="s">
        <v>55</v>
      </c>
      <c r="K882" t="s">
        <v>17</v>
      </c>
      <c r="L882" t="s">
        <v>33</v>
      </c>
      <c r="M882">
        <v>30576.55</v>
      </c>
      <c r="N882" t="str">
        <f t="shared" si="27"/>
        <v>High</v>
      </c>
    </row>
    <row r="883" spans="1:14" x14ac:dyDescent="0.3">
      <c r="A883" t="s">
        <v>941</v>
      </c>
      <c r="B883" s="1">
        <v>45418</v>
      </c>
      <c r="C883" s="1" t="str">
        <f t="shared" si="26"/>
        <v>May</v>
      </c>
      <c r="D883" t="s">
        <v>20</v>
      </c>
      <c r="E883" t="s">
        <v>61</v>
      </c>
      <c r="F883" t="s">
        <v>32</v>
      </c>
      <c r="G883">
        <v>4</v>
      </c>
      <c r="H883">
        <v>7732.17</v>
      </c>
      <c r="I883" s="3">
        <v>0.05</v>
      </c>
      <c r="J883" t="s">
        <v>22</v>
      </c>
      <c r="K883" t="s">
        <v>23</v>
      </c>
      <c r="L883" t="s">
        <v>33</v>
      </c>
      <c r="M883">
        <v>29382.25</v>
      </c>
      <c r="N883" t="str">
        <f t="shared" si="27"/>
        <v>High</v>
      </c>
    </row>
    <row r="884" spans="1:14" x14ac:dyDescent="0.3">
      <c r="A884" t="s">
        <v>942</v>
      </c>
      <c r="B884" s="1">
        <v>45648</v>
      </c>
      <c r="C884" s="1" t="str">
        <f t="shared" si="26"/>
        <v>December</v>
      </c>
      <c r="D884" t="s">
        <v>20</v>
      </c>
      <c r="E884" t="s">
        <v>78</v>
      </c>
      <c r="F884" t="s">
        <v>27</v>
      </c>
      <c r="G884">
        <v>5</v>
      </c>
      <c r="H884">
        <v>3904.79</v>
      </c>
      <c r="I884" s="3">
        <v>0.15</v>
      </c>
      <c r="J884" t="s">
        <v>16</v>
      </c>
      <c r="K884" t="s">
        <v>29</v>
      </c>
      <c r="L884" t="s">
        <v>33</v>
      </c>
      <c r="M884">
        <v>16595.36</v>
      </c>
      <c r="N884" t="str">
        <f t="shared" si="27"/>
        <v>Medium</v>
      </c>
    </row>
    <row r="885" spans="1:14" x14ac:dyDescent="0.3">
      <c r="A885" t="s">
        <v>943</v>
      </c>
      <c r="B885" s="1">
        <v>45463</v>
      </c>
      <c r="C885" s="1" t="str">
        <f t="shared" si="26"/>
        <v>June</v>
      </c>
      <c r="D885" t="s">
        <v>25</v>
      </c>
      <c r="E885" t="s">
        <v>46</v>
      </c>
      <c r="F885" t="s">
        <v>53</v>
      </c>
      <c r="G885">
        <v>3</v>
      </c>
      <c r="H885">
        <v>4677.2299999999996</v>
      </c>
      <c r="I885" s="3">
        <v>0.1</v>
      </c>
      <c r="J885" t="s">
        <v>16</v>
      </c>
      <c r="K885" t="s">
        <v>49</v>
      </c>
      <c r="L885" t="s">
        <v>33</v>
      </c>
      <c r="M885">
        <v>12628.52</v>
      </c>
      <c r="N885" t="str">
        <f t="shared" si="27"/>
        <v>Medium</v>
      </c>
    </row>
    <row r="886" spans="1:14" x14ac:dyDescent="0.3">
      <c r="A886" t="s">
        <v>944</v>
      </c>
      <c r="B886" s="1">
        <v>45296</v>
      </c>
      <c r="C886" s="1" t="str">
        <f t="shared" si="26"/>
        <v>January</v>
      </c>
      <c r="D886" t="s">
        <v>35</v>
      </c>
      <c r="E886" t="s">
        <v>68</v>
      </c>
      <c r="F886" t="s">
        <v>47</v>
      </c>
      <c r="G886">
        <v>3</v>
      </c>
      <c r="H886">
        <v>4313.9399999999996</v>
      </c>
      <c r="I886" s="3">
        <v>0.05</v>
      </c>
      <c r="J886" t="s">
        <v>16</v>
      </c>
      <c r="K886" t="s">
        <v>23</v>
      </c>
      <c r="L886" t="s">
        <v>33</v>
      </c>
      <c r="M886">
        <v>12294.73</v>
      </c>
      <c r="N886" t="str">
        <f t="shared" si="27"/>
        <v>Medium</v>
      </c>
    </row>
    <row r="887" spans="1:14" x14ac:dyDescent="0.3">
      <c r="A887" t="s">
        <v>945</v>
      </c>
      <c r="B887" s="1">
        <v>45462</v>
      </c>
      <c r="C887" s="1" t="str">
        <f t="shared" si="26"/>
        <v>June</v>
      </c>
      <c r="D887" t="s">
        <v>20</v>
      </c>
      <c r="E887" t="s">
        <v>57</v>
      </c>
      <c r="F887" t="s">
        <v>53</v>
      </c>
      <c r="G887">
        <v>1</v>
      </c>
      <c r="H887">
        <v>6576.01</v>
      </c>
      <c r="I887" s="3">
        <v>0</v>
      </c>
      <c r="J887" t="s">
        <v>16</v>
      </c>
      <c r="K887" t="s">
        <v>17</v>
      </c>
      <c r="L887" t="s">
        <v>33</v>
      </c>
      <c r="M887">
        <v>6576.01</v>
      </c>
      <c r="N887" t="str">
        <f t="shared" si="27"/>
        <v>Low</v>
      </c>
    </row>
    <row r="888" spans="1:14" x14ac:dyDescent="0.3">
      <c r="A888" t="s">
        <v>946</v>
      </c>
      <c r="B888" s="1">
        <v>45522</v>
      </c>
      <c r="C888" s="1" t="str">
        <f t="shared" si="26"/>
        <v>August</v>
      </c>
      <c r="D888" t="s">
        <v>35</v>
      </c>
      <c r="E888" t="s">
        <v>68</v>
      </c>
      <c r="F888" t="s">
        <v>32</v>
      </c>
      <c r="G888">
        <v>3</v>
      </c>
      <c r="H888">
        <v>4483.07</v>
      </c>
      <c r="I888" s="3">
        <v>0.2</v>
      </c>
      <c r="J888" t="s">
        <v>16</v>
      </c>
      <c r="K888" t="s">
        <v>23</v>
      </c>
      <c r="L888" t="s">
        <v>33</v>
      </c>
      <c r="M888">
        <v>10759.37</v>
      </c>
      <c r="N888" t="str">
        <f t="shared" si="27"/>
        <v>Medium</v>
      </c>
    </row>
    <row r="889" spans="1:14" x14ac:dyDescent="0.3">
      <c r="A889" t="s">
        <v>947</v>
      </c>
      <c r="B889" s="1">
        <v>45379</v>
      </c>
      <c r="C889" s="1" t="str">
        <f t="shared" si="26"/>
        <v>March</v>
      </c>
      <c r="D889" t="s">
        <v>13</v>
      </c>
      <c r="E889" t="s">
        <v>70</v>
      </c>
      <c r="F889" t="s">
        <v>80</v>
      </c>
      <c r="G889">
        <v>1</v>
      </c>
      <c r="H889">
        <v>5313.03</v>
      </c>
      <c r="I889" s="3">
        <v>0</v>
      </c>
      <c r="J889" t="s">
        <v>28</v>
      </c>
      <c r="K889" t="s">
        <v>23</v>
      </c>
      <c r="L889" t="s">
        <v>33</v>
      </c>
      <c r="M889">
        <v>5313.03</v>
      </c>
      <c r="N889" t="str">
        <f t="shared" si="27"/>
        <v>Low</v>
      </c>
    </row>
    <row r="890" spans="1:14" x14ac:dyDescent="0.3">
      <c r="A890" t="s">
        <v>948</v>
      </c>
      <c r="B890" s="1">
        <v>45652</v>
      </c>
      <c r="C890" s="1" t="str">
        <f t="shared" si="26"/>
        <v>December</v>
      </c>
      <c r="D890" t="s">
        <v>35</v>
      </c>
      <c r="E890" t="s">
        <v>36</v>
      </c>
      <c r="F890" t="s">
        <v>32</v>
      </c>
      <c r="G890">
        <v>1</v>
      </c>
      <c r="H890">
        <v>7270.5</v>
      </c>
      <c r="I890" s="3">
        <v>0</v>
      </c>
      <c r="J890" t="s">
        <v>22</v>
      </c>
      <c r="K890" t="s">
        <v>49</v>
      </c>
      <c r="L890" t="s">
        <v>33</v>
      </c>
      <c r="M890">
        <v>7270.5</v>
      </c>
      <c r="N890" t="str">
        <f t="shared" si="27"/>
        <v>Low</v>
      </c>
    </row>
    <row r="891" spans="1:14" x14ac:dyDescent="0.3">
      <c r="A891" t="s">
        <v>949</v>
      </c>
      <c r="B891" s="1">
        <v>45410</v>
      </c>
      <c r="C891" s="1" t="str">
        <f t="shared" si="26"/>
        <v>April</v>
      </c>
      <c r="D891" t="s">
        <v>35</v>
      </c>
      <c r="E891" t="s">
        <v>63</v>
      </c>
      <c r="F891" t="s">
        <v>44</v>
      </c>
      <c r="G891">
        <v>3</v>
      </c>
      <c r="H891">
        <v>6080.56</v>
      </c>
      <c r="I891" s="3">
        <v>0.05</v>
      </c>
      <c r="J891" t="s">
        <v>16</v>
      </c>
      <c r="K891" t="s">
        <v>40</v>
      </c>
      <c r="L891" t="s">
        <v>33</v>
      </c>
      <c r="M891">
        <v>17329.599999999999</v>
      </c>
      <c r="N891" t="str">
        <f t="shared" si="27"/>
        <v>Medium</v>
      </c>
    </row>
    <row r="892" spans="1:14" x14ac:dyDescent="0.3">
      <c r="A892" t="s">
        <v>950</v>
      </c>
      <c r="B892" s="1">
        <v>45512</v>
      </c>
      <c r="C892" s="1" t="str">
        <f t="shared" si="26"/>
        <v>August</v>
      </c>
      <c r="D892" t="s">
        <v>13</v>
      </c>
      <c r="E892" t="s">
        <v>14</v>
      </c>
      <c r="F892" t="s">
        <v>15</v>
      </c>
      <c r="G892">
        <v>2</v>
      </c>
      <c r="H892">
        <v>3394.83</v>
      </c>
      <c r="I892" s="3">
        <v>0</v>
      </c>
      <c r="J892" t="s">
        <v>28</v>
      </c>
      <c r="K892" t="s">
        <v>29</v>
      </c>
      <c r="L892" t="s">
        <v>33</v>
      </c>
      <c r="M892">
        <v>6789.66</v>
      </c>
      <c r="N892" t="str">
        <f t="shared" si="27"/>
        <v>Low</v>
      </c>
    </row>
    <row r="893" spans="1:14" x14ac:dyDescent="0.3">
      <c r="A893" t="s">
        <v>951</v>
      </c>
      <c r="B893" s="1">
        <v>45582</v>
      </c>
      <c r="C893" s="1" t="str">
        <f t="shared" si="26"/>
        <v>October</v>
      </c>
      <c r="D893" t="s">
        <v>35</v>
      </c>
      <c r="E893" t="s">
        <v>63</v>
      </c>
      <c r="F893" t="s">
        <v>47</v>
      </c>
      <c r="G893">
        <v>6</v>
      </c>
      <c r="H893">
        <v>4165.3999999999996</v>
      </c>
      <c r="I893" s="3">
        <v>0</v>
      </c>
      <c r="J893" t="s">
        <v>28</v>
      </c>
      <c r="K893" t="s">
        <v>17</v>
      </c>
      <c r="L893" t="s">
        <v>33</v>
      </c>
      <c r="M893">
        <v>24992.400000000001</v>
      </c>
      <c r="N893" t="str">
        <f t="shared" si="27"/>
        <v>High</v>
      </c>
    </row>
    <row r="894" spans="1:14" x14ac:dyDescent="0.3">
      <c r="A894" t="s">
        <v>952</v>
      </c>
      <c r="B894" s="1">
        <v>45549</v>
      </c>
      <c r="C894" s="1" t="str">
        <f t="shared" si="26"/>
        <v>September</v>
      </c>
      <c r="D894" t="s">
        <v>13</v>
      </c>
      <c r="E894" t="s">
        <v>74</v>
      </c>
      <c r="F894" t="s">
        <v>15</v>
      </c>
      <c r="G894">
        <v>5</v>
      </c>
      <c r="H894">
        <v>2835.98</v>
      </c>
      <c r="I894" s="3">
        <v>0.1</v>
      </c>
      <c r="J894" t="s">
        <v>16</v>
      </c>
      <c r="K894" t="s">
        <v>29</v>
      </c>
      <c r="L894" t="s">
        <v>18</v>
      </c>
      <c r="M894">
        <v>12761.91</v>
      </c>
      <c r="N894" t="str">
        <f t="shared" si="27"/>
        <v>Medium</v>
      </c>
    </row>
    <row r="895" spans="1:14" x14ac:dyDescent="0.3">
      <c r="A895" t="s">
        <v>953</v>
      </c>
      <c r="B895" s="1">
        <v>45557</v>
      </c>
      <c r="C895" s="1" t="str">
        <f t="shared" si="26"/>
        <v>September</v>
      </c>
      <c r="D895" t="s">
        <v>35</v>
      </c>
      <c r="E895" t="s">
        <v>36</v>
      </c>
      <c r="F895" t="s">
        <v>1160</v>
      </c>
      <c r="G895">
        <v>3</v>
      </c>
      <c r="H895">
        <v>7818.82</v>
      </c>
      <c r="I895" s="3">
        <v>0.15</v>
      </c>
      <c r="J895" t="s">
        <v>16</v>
      </c>
      <c r="K895" t="s">
        <v>17</v>
      </c>
      <c r="L895" t="s">
        <v>33</v>
      </c>
      <c r="M895">
        <v>19937.990000000002</v>
      </c>
      <c r="N895" t="str">
        <f t="shared" si="27"/>
        <v>Medium</v>
      </c>
    </row>
    <row r="896" spans="1:14" x14ac:dyDescent="0.3">
      <c r="A896" t="s">
        <v>954</v>
      </c>
      <c r="B896" s="1">
        <v>45356</v>
      </c>
      <c r="C896" s="1" t="str">
        <f t="shared" si="26"/>
        <v>March</v>
      </c>
      <c r="D896" t="s">
        <v>20</v>
      </c>
      <c r="E896" t="s">
        <v>59</v>
      </c>
      <c r="F896" t="s">
        <v>80</v>
      </c>
      <c r="G896">
        <v>6</v>
      </c>
      <c r="H896">
        <v>4716.21</v>
      </c>
      <c r="I896" s="3">
        <v>0.1</v>
      </c>
      <c r="J896" t="s">
        <v>16</v>
      </c>
      <c r="K896" t="s">
        <v>29</v>
      </c>
      <c r="L896" t="s">
        <v>18</v>
      </c>
      <c r="M896">
        <v>25467.53</v>
      </c>
      <c r="N896" t="str">
        <f t="shared" si="27"/>
        <v>High</v>
      </c>
    </row>
    <row r="897" spans="1:14" x14ac:dyDescent="0.3">
      <c r="A897" t="s">
        <v>955</v>
      </c>
      <c r="B897" s="1">
        <v>45629</v>
      </c>
      <c r="C897" s="1" t="str">
        <f t="shared" si="26"/>
        <v>December</v>
      </c>
      <c r="D897" t="s">
        <v>20</v>
      </c>
      <c r="E897" t="s">
        <v>57</v>
      </c>
      <c r="F897" t="s">
        <v>27</v>
      </c>
      <c r="G897">
        <v>1</v>
      </c>
      <c r="H897">
        <v>4193.9399999999996</v>
      </c>
      <c r="I897" s="3">
        <v>0.25</v>
      </c>
      <c r="J897" t="s">
        <v>55</v>
      </c>
      <c r="K897" t="s">
        <v>23</v>
      </c>
      <c r="L897" t="s">
        <v>18</v>
      </c>
      <c r="M897">
        <f>Orders[[#This Row],[Quantity]]*Orders[[#This Row],[UnitPrice]]-Orders[[#This Row],[Discount%]]</f>
        <v>4193.6899999999996</v>
      </c>
      <c r="N897" t="str">
        <f t="shared" si="27"/>
        <v>Low</v>
      </c>
    </row>
    <row r="898" spans="1:14" x14ac:dyDescent="0.3">
      <c r="A898" t="s">
        <v>956</v>
      </c>
      <c r="B898" s="1">
        <v>45437</v>
      </c>
      <c r="C898" s="1" t="str">
        <f t="shared" ref="C898:C961" si="28">TEXT(B898,"mmmm")</f>
        <v>May</v>
      </c>
      <c r="D898" t="s">
        <v>38</v>
      </c>
      <c r="E898" t="s">
        <v>42</v>
      </c>
      <c r="F898" t="s">
        <v>1160</v>
      </c>
      <c r="G898">
        <v>1</v>
      </c>
      <c r="H898">
        <v>7721.17</v>
      </c>
      <c r="I898" s="3">
        <v>0.05</v>
      </c>
      <c r="J898" t="s">
        <v>22</v>
      </c>
      <c r="K898" t="s">
        <v>23</v>
      </c>
      <c r="L898" t="s">
        <v>33</v>
      </c>
      <c r="M898">
        <v>7335.11</v>
      </c>
      <c r="N898" t="str">
        <f t="shared" ref="N898:N961" si="29">IF(M898&gt;20000,"High",IF(M898&gt;10000,"Medium","Low"))</f>
        <v>Low</v>
      </c>
    </row>
    <row r="899" spans="1:14" x14ac:dyDescent="0.3">
      <c r="A899" t="s">
        <v>957</v>
      </c>
      <c r="B899" s="1">
        <v>45564</v>
      </c>
      <c r="C899" s="1" t="str">
        <f t="shared" si="28"/>
        <v>September</v>
      </c>
      <c r="D899" t="s">
        <v>25</v>
      </c>
      <c r="E899" t="s">
        <v>46</v>
      </c>
      <c r="F899" t="s">
        <v>47</v>
      </c>
      <c r="G899">
        <v>5</v>
      </c>
      <c r="H899">
        <v>4319.1000000000004</v>
      </c>
      <c r="I899" s="3">
        <v>0.05</v>
      </c>
      <c r="J899" t="s">
        <v>16</v>
      </c>
      <c r="K899" t="s">
        <v>29</v>
      </c>
      <c r="L899" t="s">
        <v>18</v>
      </c>
      <c r="M899">
        <v>20515.72</v>
      </c>
      <c r="N899" t="str">
        <f t="shared" si="29"/>
        <v>High</v>
      </c>
    </row>
    <row r="900" spans="1:14" x14ac:dyDescent="0.3">
      <c r="A900" t="s">
        <v>958</v>
      </c>
      <c r="B900" s="1">
        <v>45307</v>
      </c>
      <c r="C900" s="1" t="str">
        <f t="shared" si="28"/>
        <v>January</v>
      </c>
      <c r="D900" t="s">
        <v>13</v>
      </c>
      <c r="E900" t="s">
        <v>108</v>
      </c>
      <c r="F900" t="s">
        <v>44</v>
      </c>
      <c r="G900">
        <v>4</v>
      </c>
      <c r="H900">
        <v>7213.88</v>
      </c>
      <c r="I900" s="3">
        <v>0.2</v>
      </c>
      <c r="J900" t="s">
        <v>16</v>
      </c>
      <c r="K900" t="s">
        <v>49</v>
      </c>
      <c r="L900" t="s">
        <v>33</v>
      </c>
      <c r="M900">
        <v>23084.42</v>
      </c>
      <c r="N900" t="str">
        <f t="shared" si="29"/>
        <v>High</v>
      </c>
    </row>
    <row r="901" spans="1:14" x14ac:dyDescent="0.3">
      <c r="A901" t="s">
        <v>959</v>
      </c>
      <c r="B901" s="1">
        <v>45306</v>
      </c>
      <c r="C901" s="1" t="str">
        <f t="shared" si="28"/>
        <v>January</v>
      </c>
      <c r="D901" t="s">
        <v>13</v>
      </c>
      <c r="E901" t="s">
        <v>70</v>
      </c>
      <c r="F901" t="s">
        <v>32</v>
      </c>
      <c r="G901">
        <v>6</v>
      </c>
      <c r="H901">
        <v>1825.78</v>
      </c>
      <c r="I901" s="3">
        <v>0.25</v>
      </c>
      <c r="J901" t="s">
        <v>16</v>
      </c>
      <c r="K901" t="s">
        <v>49</v>
      </c>
      <c r="L901" t="s">
        <v>33</v>
      </c>
      <c r="M901">
        <v>8216.01</v>
      </c>
      <c r="N901" t="str">
        <f t="shared" si="29"/>
        <v>Low</v>
      </c>
    </row>
    <row r="902" spans="1:14" x14ac:dyDescent="0.3">
      <c r="A902" t="s">
        <v>960</v>
      </c>
      <c r="B902" s="1">
        <v>45390</v>
      </c>
      <c r="C902" s="1" t="str">
        <f t="shared" si="28"/>
        <v>April</v>
      </c>
      <c r="D902" t="s">
        <v>35</v>
      </c>
      <c r="E902" t="s">
        <v>36</v>
      </c>
      <c r="F902" t="s">
        <v>47</v>
      </c>
      <c r="G902">
        <v>3</v>
      </c>
      <c r="H902">
        <v>3924.76</v>
      </c>
      <c r="I902" s="3">
        <v>0.05</v>
      </c>
      <c r="J902" t="s">
        <v>16</v>
      </c>
      <c r="K902" t="s">
        <v>40</v>
      </c>
      <c r="L902" t="s">
        <v>33</v>
      </c>
      <c r="M902">
        <v>11185.57</v>
      </c>
      <c r="N902" t="str">
        <f t="shared" si="29"/>
        <v>Medium</v>
      </c>
    </row>
    <row r="903" spans="1:14" x14ac:dyDescent="0.3">
      <c r="A903" t="s">
        <v>961</v>
      </c>
      <c r="B903" s="1">
        <v>45363</v>
      </c>
      <c r="C903" s="1" t="str">
        <f t="shared" si="28"/>
        <v>March</v>
      </c>
      <c r="D903" t="s">
        <v>13</v>
      </c>
      <c r="E903" t="s">
        <v>74</v>
      </c>
      <c r="F903" t="s">
        <v>53</v>
      </c>
      <c r="G903">
        <v>6</v>
      </c>
      <c r="H903">
        <v>1508.88</v>
      </c>
      <c r="I903" s="3">
        <v>0.1</v>
      </c>
      <c r="J903" t="s">
        <v>28</v>
      </c>
      <c r="K903" t="s">
        <v>23</v>
      </c>
      <c r="L903" t="s">
        <v>33</v>
      </c>
      <c r="M903">
        <v>8147.95</v>
      </c>
      <c r="N903" t="str">
        <f t="shared" si="29"/>
        <v>Low</v>
      </c>
    </row>
    <row r="904" spans="1:14" x14ac:dyDescent="0.3">
      <c r="A904" t="s">
        <v>962</v>
      </c>
      <c r="B904" s="1">
        <v>45637</v>
      </c>
      <c r="C904" s="1" t="str">
        <f t="shared" si="28"/>
        <v>December</v>
      </c>
      <c r="D904" t="s">
        <v>35</v>
      </c>
      <c r="E904" t="s">
        <v>97</v>
      </c>
      <c r="F904" t="s">
        <v>27</v>
      </c>
      <c r="G904">
        <v>3</v>
      </c>
      <c r="H904">
        <v>1816.93</v>
      </c>
      <c r="I904" s="3">
        <v>0.25</v>
      </c>
      <c r="J904" t="s">
        <v>16</v>
      </c>
      <c r="K904" t="s">
        <v>40</v>
      </c>
      <c r="L904" t="s">
        <v>18</v>
      </c>
      <c r="M904">
        <v>4088.09</v>
      </c>
      <c r="N904" t="str">
        <f t="shared" si="29"/>
        <v>Low</v>
      </c>
    </row>
    <row r="905" spans="1:14" x14ac:dyDescent="0.3">
      <c r="A905" t="s">
        <v>963</v>
      </c>
      <c r="B905" s="1">
        <v>45640</v>
      </c>
      <c r="C905" s="1" t="str">
        <f t="shared" si="28"/>
        <v>December</v>
      </c>
      <c r="D905" t="s">
        <v>20</v>
      </c>
      <c r="E905" t="s">
        <v>21</v>
      </c>
      <c r="F905" t="s">
        <v>53</v>
      </c>
      <c r="G905">
        <v>1</v>
      </c>
      <c r="H905">
        <v>5375.47</v>
      </c>
      <c r="I905" s="3">
        <v>0.1</v>
      </c>
      <c r="J905" t="s">
        <v>28</v>
      </c>
      <c r="K905" t="s">
        <v>40</v>
      </c>
      <c r="L905" t="s">
        <v>18</v>
      </c>
      <c r="M905">
        <v>4837.92</v>
      </c>
      <c r="N905" t="str">
        <f t="shared" si="29"/>
        <v>Low</v>
      </c>
    </row>
    <row r="906" spans="1:14" x14ac:dyDescent="0.3">
      <c r="A906" t="s">
        <v>964</v>
      </c>
      <c r="B906" s="1">
        <v>45580</v>
      </c>
      <c r="C906" s="1" t="str">
        <f t="shared" si="28"/>
        <v>October</v>
      </c>
      <c r="D906" t="s">
        <v>25</v>
      </c>
      <c r="E906" t="s">
        <v>87</v>
      </c>
      <c r="F906" t="s">
        <v>27</v>
      </c>
      <c r="G906">
        <v>4</v>
      </c>
      <c r="H906">
        <v>6652.02</v>
      </c>
      <c r="I906" s="3">
        <v>0.1</v>
      </c>
      <c r="J906" t="s">
        <v>22</v>
      </c>
      <c r="K906" t="s">
        <v>40</v>
      </c>
      <c r="L906" t="s">
        <v>33</v>
      </c>
      <c r="M906">
        <v>23947.27</v>
      </c>
      <c r="N906" t="str">
        <f t="shared" si="29"/>
        <v>High</v>
      </c>
    </row>
    <row r="907" spans="1:14" x14ac:dyDescent="0.3">
      <c r="A907" t="s">
        <v>965</v>
      </c>
      <c r="B907" s="1">
        <v>45546</v>
      </c>
      <c r="C907" s="1" t="str">
        <f t="shared" si="28"/>
        <v>September</v>
      </c>
      <c r="D907" t="s">
        <v>20</v>
      </c>
      <c r="E907" t="s">
        <v>61</v>
      </c>
      <c r="F907" t="s">
        <v>32</v>
      </c>
      <c r="G907">
        <v>1</v>
      </c>
      <c r="H907">
        <v>4714.26</v>
      </c>
      <c r="I907" s="3">
        <v>0.15</v>
      </c>
      <c r="J907" t="s">
        <v>22</v>
      </c>
      <c r="K907" t="s">
        <v>29</v>
      </c>
      <c r="L907" t="s">
        <v>18</v>
      </c>
      <c r="M907">
        <v>4007.12</v>
      </c>
      <c r="N907" t="str">
        <f t="shared" si="29"/>
        <v>Low</v>
      </c>
    </row>
    <row r="908" spans="1:14" x14ac:dyDescent="0.3">
      <c r="A908" t="s">
        <v>966</v>
      </c>
      <c r="B908" s="1">
        <v>45460</v>
      </c>
      <c r="C908" s="1" t="str">
        <f t="shared" si="28"/>
        <v>June</v>
      </c>
      <c r="D908" t="s">
        <v>20</v>
      </c>
      <c r="E908" t="s">
        <v>57</v>
      </c>
      <c r="F908" t="s">
        <v>53</v>
      </c>
      <c r="G908">
        <v>1</v>
      </c>
      <c r="H908">
        <v>1328.28</v>
      </c>
      <c r="I908" s="3">
        <v>0</v>
      </c>
      <c r="J908" t="s">
        <v>22</v>
      </c>
      <c r="K908" t="s">
        <v>29</v>
      </c>
      <c r="L908" t="s">
        <v>33</v>
      </c>
      <c r="M908">
        <v>1328.28</v>
      </c>
      <c r="N908" t="str">
        <f t="shared" si="29"/>
        <v>Low</v>
      </c>
    </row>
    <row r="909" spans="1:14" x14ac:dyDescent="0.3">
      <c r="A909" t="s">
        <v>967</v>
      </c>
      <c r="B909" s="1">
        <v>45548</v>
      </c>
      <c r="C909" s="1" t="str">
        <f t="shared" si="28"/>
        <v>September</v>
      </c>
      <c r="D909" t="s">
        <v>35</v>
      </c>
      <c r="E909" t="s">
        <v>65</v>
      </c>
      <c r="F909" t="s">
        <v>80</v>
      </c>
      <c r="G909">
        <v>4</v>
      </c>
      <c r="H909">
        <v>2221.23</v>
      </c>
      <c r="I909" s="3">
        <v>0</v>
      </c>
      <c r="J909" t="s">
        <v>22</v>
      </c>
      <c r="K909" t="s">
        <v>49</v>
      </c>
      <c r="L909" t="s">
        <v>33</v>
      </c>
      <c r="M909">
        <v>8884.92</v>
      </c>
      <c r="N909" t="str">
        <f t="shared" si="29"/>
        <v>Low</v>
      </c>
    </row>
    <row r="910" spans="1:14" x14ac:dyDescent="0.3">
      <c r="A910" t="s">
        <v>968</v>
      </c>
      <c r="B910" s="1">
        <v>45445</v>
      </c>
      <c r="C910" s="1" t="str">
        <f t="shared" si="28"/>
        <v>June</v>
      </c>
      <c r="D910" t="s">
        <v>35</v>
      </c>
      <c r="E910" t="s">
        <v>97</v>
      </c>
      <c r="F910" t="s">
        <v>27</v>
      </c>
      <c r="G910">
        <v>4</v>
      </c>
      <c r="H910">
        <v>4195.33</v>
      </c>
      <c r="I910" s="3">
        <v>0.15</v>
      </c>
      <c r="J910" t="s">
        <v>28</v>
      </c>
      <c r="K910" t="s">
        <v>17</v>
      </c>
      <c r="L910" t="s">
        <v>33</v>
      </c>
      <c r="M910">
        <v>14264.12</v>
      </c>
      <c r="N910" t="str">
        <f t="shared" si="29"/>
        <v>Medium</v>
      </c>
    </row>
    <row r="911" spans="1:14" x14ac:dyDescent="0.3">
      <c r="A911" t="s">
        <v>969</v>
      </c>
      <c r="B911" s="1">
        <v>45341</v>
      </c>
      <c r="C911" s="1" t="str">
        <f t="shared" si="28"/>
        <v>February</v>
      </c>
      <c r="D911" t="s">
        <v>38</v>
      </c>
      <c r="E911" t="s">
        <v>164</v>
      </c>
      <c r="F911" t="s">
        <v>1160</v>
      </c>
      <c r="G911">
        <v>6</v>
      </c>
      <c r="H911">
        <v>7816.03</v>
      </c>
      <c r="I911" s="3">
        <v>0.1</v>
      </c>
      <c r="J911" t="s">
        <v>55</v>
      </c>
      <c r="K911" t="s">
        <v>17</v>
      </c>
      <c r="L911" t="s">
        <v>33</v>
      </c>
      <c r="M911">
        <v>42206.559999999998</v>
      </c>
      <c r="N911" t="str">
        <f t="shared" si="29"/>
        <v>High</v>
      </c>
    </row>
    <row r="912" spans="1:14" x14ac:dyDescent="0.3">
      <c r="A912" t="s">
        <v>970</v>
      </c>
      <c r="B912" s="1">
        <v>45509</v>
      </c>
      <c r="C912" s="1" t="str">
        <f t="shared" si="28"/>
        <v>August</v>
      </c>
      <c r="D912" t="s">
        <v>20</v>
      </c>
      <c r="E912" t="s">
        <v>21</v>
      </c>
      <c r="F912" t="s">
        <v>44</v>
      </c>
      <c r="G912">
        <v>5</v>
      </c>
      <c r="H912">
        <v>6634.62</v>
      </c>
      <c r="I912" s="3">
        <v>0.2</v>
      </c>
      <c r="J912" t="s">
        <v>16</v>
      </c>
      <c r="K912" t="s">
        <v>49</v>
      </c>
      <c r="L912" t="s">
        <v>33</v>
      </c>
      <c r="M912">
        <v>26538.48</v>
      </c>
      <c r="N912" t="str">
        <f t="shared" si="29"/>
        <v>High</v>
      </c>
    </row>
    <row r="913" spans="1:14" x14ac:dyDescent="0.3">
      <c r="A913" t="s">
        <v>971</v>
      </c>
      <c r="B913" s="1">
        <v>45350</v>
      </c>
      <c r="C913" s="1" t="str">
        <f t="shared" si="28"/>
        <v>February</v>
      </c>
      <c r="D913" t="s">
        <v>20</v>
      </c>
      <c r="E913" t="s">
        <v>59</v>
      </c>
      <c r="F913" t="s">
        <v>53</v>
      </c>
      <c r="G913">
        <v>2</v>
      </c>
      <c r="H913">
        <v>6232.66</v>
      </c>
      <c r="I913" s="3">
        <v>0</v>
      </c>
      <c r="J913" t="s">
        <v>28</v>
      </c>
      <c r="K913" t="s">
        <v>49</v>
      </c>
      <c r="L913" t="s">
        <v>33</v>
      </c>
      <c r="M913">
        <v>12465.32</v>
      </c>
      <c r="N913" t="str">
        <f t="shared" si="29"/>
        <v>Medium</v>
      </c>
    </row>
    <row r="914" spans="1:14" x14ac:dyDescent="0.3">
      <c r="A914" t="s">
        <v>972</v>
      </c>
      <c r="B914" s="1">
        <v>45301</v>
      </c>
      <c r="C914" s="1" t="str">
        <f t="shared" si="28"/>
        <v>January</v>
      </c>
      <c r="D914" t="s">
        <v>38</v>
      </c>
      <c r="E914" t="s">
        <v>42</v>
      </c>
      <c r="F914" t="s">
        <v>47</v>
      </c>
      <c r="G914">
        <v>3</v>
      </c>
      <c r="H914">
        <v>2140.23</v>
      </c>
      <c r="I914" s="3">
        <v>0.2</v>
      </c>
      <c r="J914" t="s">
        <v>22</v>
      </c>
      <c r="K914" t="s">
        <v>29</v>
      </c>
      <c r="L914" t="s">
        <v>33</v>
      </c>
      <c r="M914">
        <f>Orders[[#This Row],[Quantity]]*Orders[[#This Row],[UnitPrice]]-Orders[[#This Row],[Discount%]]</f>
        <v>6420.4900000000007</v>
      </c>
      <c r="N914" t="str">
        <f t="shared" si="29"/>
        <v>Low</v>
      </c>
    </row>
    <row r="915" spans="1:14" x14ac:dyDescent="0.3">
      <c r="A915" t="s">
        <v>973</v>
      </c>
      <c r="B915" s="1">
        <v>45460</v>
      </c>
      <c r="C915" s="1" t="str">
        <f t="shared" si="28"/>
        <v>June</v>
      </c>
      <c r="D915" t="s">
        <v>25</v>
      </c>
      <c r="E915" t="s">
        <v>31</v>
      </c>
      <c r="F915" t="s">
        <v>15</v>
      </c>
      <c r="G915">
        <v>1</v>
      </c>
      <c r="H915">
        <v>956.67</v>
      </c>
      <c r="I915" s="3">
        <v>0.05</v>
      </c>
      <c r="J915" t="s">
        <v>55</v>
      </c>
      <c r="K915" t="s">
        <v>23</v>
      </c>
      <c r="L915" t="s">
        <v>33</v>
      </c>
      <c r="M915">
        <v>908.84</v>
      </c>
      <c r="N915" t="str">
        <f t="shared" si="29"/>
        <v>Low</v>
      </c>
    </row>
    <row r="916" spans="1:14" x14ac:dyDescent="0.3">
      <c r="A916" t="s">
        <v>974</v>
      </c>
      <c r="B916" s="1">
        <v>45565</v>
      </c>
      <c r="C916" s="1" t="str">
        <f t="shared" si="28"/>
        <v>September</v>
      </c>
      <c r="D916" t="s">
        <v>13</v>
      </c>
      <c r="E916" t="s">
        <v>14</v>
      </c>
      <c r="F916" t="s">
        <v>80</v>
      </c>
      <c r="G916">
        <v>3</v>
      </c>
      <c r="H916">
        <v>2381.37</v>
      </c>
      <c r="I916" s="3">
        <v>0.1</v>
      </c>
      <c r="J916" t="s">
        <v>22</v>
      </c>
      <c r="K916" t="s">
        <v>17</v>
      </c>
      <c r="L916" t="s">
        <v>33</v>
      </c>
      <c r="M916">
        <v>6429.7</v>
      </c>
      <c r="N916" t="str">
        <f t="shared" si="29"/>
        <v>Low</v>
      </c>
    </row>
    <row r="917" spans="1:14" x14ac:dyDescent="0.3">
      <c r="A917" t="s">
        <v>975</v>
      </c>
      <c r="B917" s="1">
        <v>45307</v>
      </c>
      <c r="C917" s="1" t="str">
        <f t="shared" si="28"/>
        <v>January</v>
      </c>
      <c r="D917" t="s">
        <v>20</v>
      </c>
      <c r="E917" t="s">
        <v>57</v>
      </c>
      <c r="F917" t="s">
        <v>53</v>
      </c>
      <c r="G917">
        <v>6</v>
      </c>
      <c r="H917">
        <v>6747.64</v>
      </c>
      <c r="I917" s="3">
        <v>0</v>
      </c>
      <c r="J917" t="s">
        <v>16</v>
      </c>
      <c r="K917" t="s">
        <v>23</v>
      </c>
      <c r="L917" t="s">
        <v>33</v>
      </c>
      <c r="M917">
        <v>40485.839999999997</v>
      </c>
      <c r="N917" t="str">
        <f t="shared" si="29"/>
        <v>High</v>
      </c>
    </row>
    <row r="918" spans="1:14" x14ac:dyDescent="0.3">
      <c r="A918" t="s">
        <v>976</v>
      </c>
      <c r="B918" s="1">
        <v>45293</v>
      </c>
      <c r="C918" s="1" t="str">
        <f t="shared" si="28"/>
        <v>January</v>
      </c>
      <c r="D918" t="s">
        <v>25</v>
      </c>
      <c r="E918" t="s">
        <v>87</v>
      </c>
      <c r="F918" t="s">
        <v>44</v>
      </c>
      <c r="G918">
        <v>1</v>
      </c>
      <c r="H918">
        <v>5743.91</v>
      </c>
      <c r="I918" s="3">
        <v>0</v>
      </c>
      <c r="J918" t="s">
        <v>16</v>
      </c>
      <c r="K918" t="s">
        <v>17</v>
      </c>
      <c r="L918" t="s">
        <v>33</v>
      </c>
      <c r="M918">
        <v>5743.91</v>
      </c>
      <c r="N918" t="str">
        <f t="shared" si="29"/>
        <v>Low</v>
      </c>
    </row>
    <row r="919" spans="1:14" x14ac:dyDescent="0.3">
      <c r="A919" t="s">
        <v>977</v>
      </c>
      <c r="B919" s="1">
        <v>45615</v>
      </c>
      <c r="C919" s="1" t="str">
        <f t="shared" si="28"/>
        <v>November</v>
      </c>
      <c r="D919" t="s">
        <v>35</v>
      </c>
      <c r="E919" t="s">
        <v>63</v>
      </c>
      <c r="F919" t="s">
        <v>32</v>
      </c>
      <c r="G919">
        <v>4</v>
      </c>
      <c r="H919">
        <v>7238.53</v>
      </c>
      <c r="I919" s="3">
        <v>0.2</v>
      </c>
      <c r="J919" t="s">
        <v>22</v>
      </c>
      <c r="K919" t="s">
        <v>49</v>
      </c>
      <c r="L919" t="s">
        <v>18</v>
      </c>
      <c r="M919">
        <v>23163.3</v>
      </c>
      <c r="N919" t="str">
        <f t="shared" si="29"/>
        <v>High</v>
      </c>
    </row>
    <row r="920" spans="1:14" x14ac:dyDescent="0.3">
      <c r="A920" t="s">
        <v>978</v>
      </c>
      <c r="B920" s="1">
        <v>45470</v>
      </c>
      <c r="C920" s="1" t="str">
        <f t="shared" si="28"/>
        <v>June</v>
      </c>
      <c r="D920" t="s">
        <v>38</v>
      </c>
      <c r="E920" t="s">
        <v>164</v>
      </c>
      <c r="F920" t="s">
        <v>32</v>
      </c>
      <c r="G920">
        <v>3</v>
      </c>
      <c r="H920">
        <v>3867.11</v>
      </c>
      <c r="I920" s="3">
        <v>0.15</v>
      </c>
      <c r="J920" t="s">
        <v>16</v>
      </c>
      <c r="K920" t="s">
        <v>23</v>
      </c>
      <c r="L920" t="s">
        <v>33</v>
      </c>
      <c r="M920">
        <v>9861.1299999999992</v>
      </c>
      <c r="N920" t="str">
        <f t="shared" si="29"/>
        <v>Low</v>
      </c>
    </row>
    <row r="921" spans="1:14" x14ac:dyDescent="0.3">
      <c r="A921" t="s">
        <v>979</v>
      </c>
      <c r="B921" s="1">
        <v>45503</v>
      </c>
      <c r="C921" s="1" t="str">
        <f t="shared" si="28"/>
        <v>July</v>
      </c>
      <c r="D921" t="s">
        <v>20</v>
      </c>
      <c r="E921" t="s">
        <v>59</v>
      </c>
      <c r="F921" t="s">
        <v>27</v>
      </c>
      <c r="G921">
        <v>4</v>
      </c>
      <c r="H921">
        <v>4480.08</v>
      </c>
      <c r="I921" s="3">
        <v>0.25</v>
      </c>
      <c r="J921" t="s">
        <v>16</v>
      </c>
      <c r="K921" t="s">
        <v>17</v>
      </c>
      <c r="L921" t="s">
        <v>33</v>
      </c>
      <c r="M921">
        <v>13440.24</v>
      </c>
      <c r="N921" t="str">
        <f t="shared" si="29"/>
        <v>Medium</v>
      </c>
    </row>
    <row r="922" spans="1:14" x14ac:dyDescent="0.3">
      <c r="A922" t="s">
        <v>980</v>
      </c>
      <c r="B922" s="1">
        <v>45322</v>
      </c>
      <c r="C922" s="1" t="str">
        <f t="shared" si="28"/>
        <v>January</v>
      </c>
      <c r="D922" t="s">
        <v>38</v>
      </c>
      <c r="E922" t="s">
        <v>51</v>
      </c>
      <c r="F922" t="s">
        <v>32</v>
      </c>
      <c r="G922">
        <v>6</v>
      </c>
      <c r="H922">
        <v>4673.2</v>
      </c>
      <c r="I922" s="3">
        <v>0.15</v>
      </c>
      <c r="J922" t="s">
        <v>16</v>
      </c>
      <c r="K922" t="s">
        <v>23</v>
      </c>
      <c r="L922" t="s">
        <v>33</v>
      </c>
      <c r="M922">
        <v>23833.32</v>
      </c>
      <c r="N922" t="str">
        <f t="shared" si="29"/>
        <v>High</v>
      </c>
    </row>
    <row r="923" spans="1:14" x14ac:dyDescent="0.3">
      <c r="A923" t="s">
        <v>981</v>
      </c>
      <c r="B923" s="1">
        <v>45541</v>
      </c>
      <c r="C923" s="1" t="str">
        <f t="shared" si="28"/>
        <v>September</v>
      </c>
      <c r="D923" t="s">
        <v>25</v>
      </c>
      <c r="E923" t="s">
        <v>31</v>
      </c>
      <c r="F923" t="s">
        <v>53</v>
      </c>
      <c r="G923">
        <v>3</v>
      </c>
      <c r="H923">
        <v>6801.5</v>
      </c>
      <c r="I923" s="3">
        <v>0.15</v>
      </c>
      <c r="J923" t="s">
        <v>16</v>
      </c>
      <c r="K923" t="s">
        <v>40</v>
      </c>
      <c r="L923" t="s">
        <v>18</v>
      </c>
      <c r="M923">
        <v>17343.830000000002</v>
      </c>
      <c r="N923" t="str">
        <f t="shared" si="29"/>
        <v>Medium</v>
      </c>
    </row>
    <row r="924" spans="1:14" x14ac:dyDescent="0.3">
      <c r="A924" t="s">
        <v>982</v>
      </c>
      <c r="B924" s="1">
        <v>45522</v>
      </c>
      <c r="C924" s="1" t="str">
        <f t="shared" si="28"/>
        <v>August</v>
      </c>
      <c r="D924" t="s">
        <v>25</v>
      </c>
      <c r="E924" t="s">
        <v>87</v>
      </c>
      <c r="F924" t="s">
        <v>53</v>
      </c>
      <c r="G924">
        <v>1</v>
      </c>
      <c r="H924">
        <v>6595.63</v>
      </c>
      <c r="I924" s="3">
        <v>0.15</v>
      </c>
      <c r="J924" t="s">
        <v>22</v>
      </c>
      <c r="K924" t="s">
        <v>40</v>
      </c>
      <c r="L924" t="s">
        <v>18</v>
      </c>
      <c r="M924">
        <v>5606.29</v>
      </c>
      <c r="N924" t="str">
        <f t="shared" si="29"/>
        <v>Low</v>
      </c>
    </row>
    <row r="925" spans="1:14" x14ac:dyDescent="0.3">
      <c r="A925" t="s">
        <v>983</v>
      </c>
      <c r="B925" s="1">
        <v>45396</v>
      </c>
      <c r="C925" s="1" t="str">
        <f t="shared" si="28"/>
        <v>April</v>
      </c>
      <c r="D925" t="s">
        <v>20</v>
      </c>
      <c r="E925" t="s">
        <v>57</v>
      </c>
      <c r="F925" t="s">
        <v>27</v>
      </c>
      <c r="G925">
        <v>2</v>
      </c>
      <c r="H925">
        <v>3249.9</v>
      </c>
      <c r="I925" s="3">
        <v>0.15</v>
      </c>
      <c r="J925" t="s">
        <v>16</v>
      </c>
      <c r="K925" t="s">
        <v>49</v>
      </c>
      <c r="L925" t="s">
        <v>33</v>
      </c>
      <c r="M925">
        <v>5524.83</v>
      </c>
      <c r="N925" t="str">
        <f t="shared" si="29"/>
        <v>Low</v>
      </c>
    </row>
    <row r="926" spans="1:14" x14ac:dyDescent="0.3">
      <c r="A926" t="s">
        <v>984</v>
      </c>
      <c r="B926" s="1">
        <v>45616</v>
      </c>
      <c r="C926" s="1" t="str">
        <f t="shared" si="28"/>
        <v>November</v>
      </c>
      <c r="D926" t="s">
        <v>20</v>
      </c>
      <c r="E926" t="s">
        <v>57</v>
      </c>
      <c r="F926" t="s">
        <v>47</v>
      </c>
      <c r="G926">
        <v>2</v>
      </c>
      <c r="H926">
        <v>2030.51</v>
      </c>
      <c r="I926" s="3">
        <v>0.2</v>
      </c>
      <c r="J926" t="s">
        <v>16</v>
      </c>
      <c r="K926" t="s">
        <v>17</v>
      </c>
      <c r="L926" t="s">
        <v>33</v>
      </c>
      <c r="M926">
        <v>3248.82</v>
      </c>
      <c r="N926" t="str">
        <f t="shared" si="29"/>
        <v>Low</v>
      </c>
    </row>
    <row r="927" spans="1:14" x14ac:dyDescent="0.3">
      <c r="A927" t="s">
        <v>985</v>
      </c>
      <c r="B927" s="1">
        <v>45456</v>
      </c>
      <c r="C927" s="1" t="str">
        <f t="shared" si="28"/>
        <v>June</v>
      </c>
      <c r="D927" t="s">
        <v>20</v>
      </c>
      <c r="E927" t="s">
        <v>59</v>
      </c>
      <c r="F927" t="s">
        <v>32</v>
      </c>
      <c r="G927">
        <v>1</v>
      </c>
      <c r="H927">
        <v>3877.66</v>
      </c>
      <c r="I927" s="3">
        <v>0.1</v>
      </c>
      <c r="J927" t="s">
        <v>22</v>
      </c>
      <c r="K927" t="s">
        <v>29</v>
      </c>
      <c r="L927" t="s">
        <v>33</v>
      </c>
      <c r="M927">
        <v>3489.89</v>
      </c>
      <c r="N927" t="str">
        <f t="shared" si="29"/>
        <v>Low</v>
      </c>
    </row>
    <row r="928" spans="1:14" x14ac:dyDescent="0.3">
      <c r="A928" t="s">
        <v>986</v>
      </c>
      <c r="B928" s="1">
        <v>45560</v>
      </c>
      <c r="C928" s="1" t="str">
        <f t="shared" si="28"/>
        <v>September</v>
      </c>
      <c r="D928" t="s">
        <v>25</v>
      </c>
      <c r="E928" t="s">
        <v>87</v>
      </c>
      <c r="F928" t="s">
        <v>80</v>
      </c>
      <c r="G928">
        <v>1</v>
      </c>
      <c r="H928">
        <v>2871.92</v>
      </c>
      <c r="I928" s="3">
        <v>0.05</v>
      </c>
      <c r="J928" t="s">
        <v>16</v>
      </c>
      <c r="K928" t="s">
        <v>23</v>
      </c>
      <c r="L928" t="s">
        <v>33</v>
      </c>
      <c r="M928">
        <v>2728.32</v>
      </c>
      <c r="N928" t="str">
        <f t="shared" si="29"/>
        <v>Low</v>
      </c>
    </row>
    <row r="929" spans="1:14" x14ac:dyDescent="0.3">
      <c r="A929" t="s">
        <v>987</v>
      </c>
      <c r="B929" s="1">
        <v>45646</v>
      </c>
      <c r="C929" s="1" t="str">
        <f t="shared" si="28"/>
        <v>December</v>
      </c>
      <c r="D929" t="s">
        <v>35</v>
      </c>
      <c r="E929" t="s">
        <v>36</v>
      </c>
      <c r="F929" t="s">
        <v>44</v>
      </c>
      <c r="G929">
        <v>4</v>
      </c>
      <c r="H929">
        <v>5474.28</v>
      </c>
      <c r="I929" s="3">
        <v>0.1</v>
      </c>
      <c r="J929" t="s">
        <v>55</v>
      </c>
      <c r="K929" t="s">
        <v>29</v>
      </c>
      <c r="L929" t="s">
        <v>33</v>
      </c>
      <c r="M929">
        <v>19707.41</v>
      </c>
      <c r="N929" t="str">
        <f t="shared" si="29"/>
        <v>Medium</v>
      </c>
    </row>
    <row r="930" spans="1:14" x14ac:dyDescent="0.3">
      <c r="A930" t="s">
        <v>988</v>
      </c>
      <c r="B930" s="1">
        <v>45598</v>
      </c>
      <c r="C930" s="1" t="str">
        <f t="shared" si="28"/>
        <v>November</v>
      </c>
      <c r="D930" t="s">
        <v>35</v>
      </c>
      <c r="E930" t="s">
        <v>63</v>
      </c>
      <c r="F930" t="s">
        <v>47</v>
      </c>
      <c r="G930">
        <v>3</v>
      </c>
      <c r="H930">
        <v>3855.7</v>
      </c>
      <c r="I930" s="3">
        <v>0</v>
      </c>
      <c r="J930" t="s">
        <v>55</v>
      </c>
      <c r="K930" t="s">
        <v>49</v>
      </c>
      <c r="L930" t="s">
        <v>33</v>
      </c>
      <c r="M930">
        <v>11567.1</v>
      </c>
      <c r="N930" t="str">
        <f t="shared" si="29"/>
        <v>Medium</v>
      </c>
    </row>
    <row r="931" spans="1:14" x14ac:dyDescent="0.3">
      <c r="A931" t="s">
        <v>989</v>
      </c>
      <c r="B931" s="1">
        <v>45507</v>
      </c>
      <c r="C931" s="1" t="str">
        <f t="shared" si="28"/>
        <v>August</v>
      </c>
      <c r="D931" t="s">
        <v>13</v>
      </c>
      <c r="E931" t="s">
        <v>74</v>
      </c>
      <c r="F931" t="s">
        <v>53</v>
      </c>
      <c r="G931">
        <v>6</v>
      </c>
      <c r="H931">
        <v>5700.01</v>
      </c>
      <c r="I931" s="3">
        <v>0.1</v>
      </c>
      <c r="J931" t="s">
        <v>22</v>
      </c>
      <c r="K931" t="s">
        <v>23</v>
      </c>
      <c r="L931" t="s">
        <v>33</v>
      </c>
      <c r="M931">
        <v>30780.05</v>
      </c>
      <c r="N931" t="str">
        <f t="shared" si="29"/>
        <v>High</v>
      </c>
    </row>
    <row r="932" spans="1:14" x14ac:dyDescent="0.3">
      <c r="A932" t="s">
        <v>990</v>
      </c>
      <c r="B932" s="1">
        <v>45598</v>
      </c>
      <c r="C932" s="1" t="str">
        <f t="shared" si="28"/>
        <v>November</v>
      </c>
      <c r="D932" t="s">
        <v>38</v>
      </c>
      <c r="E932" t="s">
        <v>100</v>
      </c>
      <c r="F932" t="s">
        <v>47</v>
      </c>
      <c r="G932">
        <v>3</v>
      </c>
      <c r="H932">
        <v>2074.88</v>
      </c>
      <c r="I932" s="3">
        <v>0.15</v>
      </c>
      <c r="J932" t="s">
        <v>55</v>
      </c>
      <c r="K932" t="s">
        <v>23</v>
      </c>
      <c r="L932" t="s">
        <v>33</v>
      </c>
      <c r="M932">
        <v>5290.94</v>
      </c>
      <c r="N932" t="str">
        <f t="shared" si="29"/>
        <v>Low</v>
      </c>
    </row>
    <row r="933" spans="1:14" x14ac:dyDescent="0.3">
      <c r="A933" t="s">
        <v>991</v>
      </c>
      <c r="B933" s="1">
        <v>45551</v>
      </c>
      <c r="C933" s="1" t="str">
        <f t="shared" si="28"/>
        <v>September</v>
      </c>
      <c r="D933" t="s">
        <v>25</v>
      </c>
      <c r="E933" t="s">
        <v>87</v>
      </c>
      <c r="F933" t="s">
        <v>1160</v>
      </c>
      <c r="G933">
        <v>2</v>
      </c>
      <c r="H933">
        <v>7349.49</v>
      </c>
      <c r="I933" s="3">
        <v>0.15</v>
      </c>
      <c r="J933" t="s">
        <v>16</v>
      </c>
      <c r="K933" t="s">
        <v>17</v>
      </c>
      <c r="L933" t="s">
        <v>33</v>
      </c>
      <c r="M933">
        <v>12494.13</v>
      </c>
      <c r="N933" t="str">
        <f t="shared" si="29"/>
        <v>Medium</v>
      </c>
    </row>
    <row r="934" spans="1:14" x14ac:dyDescent="0.3">
      <c r="A934" t="s">
        <v>992</v>
      </c>
      <c r="B934" s="1">
        <v>45490</v>
      </c>
      <c r="C934" s="1" t="str">
        <f t="shared" si="28"/>
        <v>July</v>
      </c>
      <c r="D934" t="s">
        <v>13</v>
      </c>
      <c r="E934" t="s">
        <v>108</v>
      </c>
      <c r="F934" t="s">
        <v>1160</v>
      </c>
      <c r="G934">
        <v>4</v>
      </c>
      <c r="H934">
        <v>3106.29</v>
      </c>
      <c r="I934" s="3">
        <v>0.1</v>
      </c>
      <c r="J934" t="s">
        <v>16</v>
      </c>
      <c r="K934" t="s">
        <v>49</v>
      </c>
      <c r="L934" t="s">
        <v>33</v>
      </c>
      <c r="M934">
        <v>11182.64</v>
      </c>
      <c r="N934" t="str">
        <f t="shared" si="29"/>
        <v>Medium</v>
      </c>
    </row>
    <row r="935" spans="1:14" x14ac:dyDescent="0.3">
      <c r="A935" t="s">
        <v>993</v>
      </c>
      <c r="B935" s="1">
        <v>45485</v>
      </c>
      <c r="C935" s="1" t="str">
        <f t="shared" si="28"/>
        <v>July</v>
      </c>
      <c r="D935" t="s">
        <v>13</v>
      </c>
      <c r="E935" t="s">
        <v>14</v>
      </c>
      <c r="F935" t="s">
        <v>53</v>
      </c>
      <c r="G935">
        <v>5</v>
      </c>
      <c r="H935">
        <v>3315.43</v>
      </c>
      <c r="I935" s="3">
        <v>0</v>
      </c>
      <c r="J935" t="s">
        <v>55</v>
      </c>
      <c r="K935" t="s">
        <v>17</v>
      </c>
      <c r="L935" t="s">
        <v>33</v>
      </c>
      <c r="M935">
        <v>16577.150000000001</v>
      </c>
      <c r="N935" t="str">
        <f t="shared" si="29"/>
        <v>Medium</v>
      </c>
    </row>
    <row r="936" spans="1:14" x14ac:dyDescent="0.3">
      <c r="A936" t="s">
        <v>994</v>
      </c>
      <c r="B936" s="1">
        <v>45443</v>
      </c>
      <c r="C936" s="1" t="str">
        <f t="shared" si="28"/>
        <v>May</v>
      </c>
      <c r="D936" t="s">
        <v>25</v>
      </c>
      <c r="E936" t="s">
        <v>94</v>
      </c>
      <c r="F936" t="s">
        <v>1160</v>
      </c>
      <c r="G936">
        <v>3</v>
      </c>
      <c r="H936">
        <v>7909.06</v>
      </c>
      <c r="I936" s="3">
        <v>0</v>
      </c>
      <c r="J936" t="s">
        <v>55</v>
      </c>
      <c r="K936" t="s">
        <v>23</v>
      </c>
      <c r="L936" t="s">
        <v>18</v>
      </c>
      <c r="M936">
        <v>23727.18</v>
      </c>
      <c r="N936" t="str">
        <f t="shared" si="29"/>
        <v>High</v>
      </c>
    </row>
    <row r="937" spans="1:14" x14ac:dyDescent="0.3">
      <c r="A937" t="s">
        <v>995</v>
      </c>
      <c r="B937" s="1">
        <v>45484</v>
      </c>
      <c r="C937" s="1" t="str">
        <f t="shared" si="28"/>
        <v>July</v>
      </c>
      <c r="D937" t="s">
        <v>38</v>
      </c>
      <c r="E937" t="s">
        <v>39</v>
      </c>
      <c r="F937" t="s">
        <v>47</v>
      </c>
      <c r="G937">
        <v>2</v>
      </c>
      <c r="H937">
        <v>7512.82</v>
      </c>
      <c r="I937" s="3">
        <v>0</v>
      </c>
      <c r="J937" t="s">
        <v>28</v>
      </c>
      <c r="K937" t="s">
        <v>49</v>
      </c>
      <c r="L937" t="s">
        <v>33</v>
      </c>
      <c r="M937">
        <v>15025.64</v>
      </c>
      <c r="N937" t="str">
        <f t="shared" si="29"/>
        <v>Medium</v>
      </c>
    </row>
    <row r="938" spans="1:14" x14ac:dyDescent="0.3">
      <c r="A938" t="s">
        <v>996</v>
      </c>
      <c r="B938" s="1">
        <v>45463</v>
      </c>
      <c r="C938" s="1" t="str">
        <f t="shared" si="28"/>
        <v>June</v>
      </c>
      <c r="D938" t="s">
        <v>13</v>
      </c>
      <c r="E938" t="s">
        <v>108</v>
      </c>
      <c r="F938" t="s">
        <v>53</v>
      </c>
      <c r="G938">
        <v>1</v>
      </c>
      <c r="H938">
        <v>2167.38</v>
      </c>
      <c r="I938" s="3">
        <v>0.1</v>
      </c>
      <c r="J938" t="s">
        <v>22</v>
      </c>
      <c r="K938" t="s">
        <v>17</v>
      </c>
      <c r="L938" t="s">
        <v>33</v>
      </c>
      <c r="M938">
        <f>Orders[[#This Row],[Quantity]]*Orders[[#This Row],[UnitPrice]]-Orders[[#This Row],[Discount%]]</f>
        <v>2167.2800000000002</v>
      </c>
      <c r="N938" t="str">
        <f t="shared" si="29"/>
        <v>Low</v>
      </c>
    </row>
    <row r="939" spans="1:14" x14ac:dyDescent="0.3">
      <c r="A939" t="s">
        <v>997</v>
      </c>
      <c r="B939" s="1">
        <v>45494</v>
      </c>
      <c r="C939" s="1" t="str">
        <f t="shared" si="28"/>
        <v>July</v>
      </c>
      <c r="D939" t="s">
        <v>13</v>
      </c>
      <c r="E939" t="s">
        <v>74</v>
      </c>
      <c r="F939" t="s">
        <v>44</v>
      </c>
      <c r="G939">
        <v>5</v>
      </c>
      <c r="H939">
        <v>5531.87</v>
      </c>
      <c r="I939" s="3">
        <v>0.05</v>
      </c>
      <c r="J939" t="s">
        <v>28</v>
      </c>
      <c r="K939" t="s">
        <v>40</v>
      </c>
      <c r="L939" t="s">
        <v>33</v>
      </c>
      <c r="M939">
        <v>26276.38</v>
      </c>
      <c r="N939" t="str">
        <f t="shared" si="29"/>
        <v>High</v>
      </c>
    </row>
    <row r="940" spans="1:14" x14ac:dyDescent="0.3">
      <c r="A940" t="s">
        <v>998</v>
      </c>
      <c r="B940" s="1">
        <v>45304</v>
      </c>
      <c r="C940" s="1" t="str">
        <f t="shared" si="28"/>
        <v>January</v>
      </c>
      <c r="D940" t="s">
        <v>20</v>
      </c>
      <c r="E940" t="s">
        <v>59</v>
      </c>
      <c r="F940" t="s">
        <v>27</v>
      </c>
      <c r="G940">
        <v>3</v>
      </c>
      <c r="H940">
        <v>5989.39</v>
      </c>
      <c r="I940" s="3">
        <v>0.05</v>
      </c>
      <c r="J940" t="s">
        <v>16</v>
      </c>
      <c r="K940" t="s">
        <v>40</v>
      </c>
      <c r="L940" t="s">
        <v>33</v>
      </c>
      <c r="M940">
        <v>17069.759999999998</v>
      </c>
      <c r="N940" t="str">
        <f t="shared" si="29"/>
        <v>Medium</v>
      </c>
    </row>
    <row r="941" spans="1:14" x14ac:dyDescent="0.3">
      <c r="A941" t="s">
        <v>999</v>
      </c>
      <c r="B941" s="1">
        <v>45415</v>
      </c>
      <c r="C941" s="1" t="str">
        <f t="shared" si="28"/>
        <v>May</v>
      </c>
      <c r="D941" t="s">
        <v>35</v>
      </c>
      <c r="E941" t="s">
        <v>97</v>
      </c>
      <c r="F941" t="s">
        <v>80</v>
      </c>
      <c r="G941">
        <v>4</v>
      </c>
      <c r="H941">
        <v>7185.82</v>
      </c>
      <c r="I941" s="3">
        <v>0.25</v>
      </c>
      <c r="J941" t="s">
        <v>28</v>
      </c>
      <c r="K941" t="s">
        <v>49</v>
      </c>
      <c r="L941" t="s">
        <v>18</v>
      </c>
      <c r="M941">
        <v>21557.46</v>
      </c>
      <c r="N941" t="str">
        <f t="shared" si="29"/>
        <v>High</v>
      </c>
    </row>
    <row r="942" spans="1:14" x14ac:dyDescent="0.3">
      <c r="A942" t="s">
        <v>1000</v>
      </c>
      <c r="B942" s="1">
        <v>45381</v>
      </c>
      <c r="C942" s="1" t="str">
        <f t="shared" si="28"/>
        <v>March</v>
      </c>
      <c r="D942" t="s">
        <v>38</v>
      </c>
      <c r="E942" t="s">
        <v>164</v>
      </c>
      <c r="F942" t="s">
        <v>47</v>
      </c>
      <c r="G942">
        <v>1</v>
      </c>
      <c r="H942">
        <v>6544.3</v>
      </c>
      <c r="I942" s="3">
        <v>0</v>
      </c>
      <c r="J942" t="s">
        <v>28</v>
      </c>
      <c r="K942" t="s">
        <v>23</v>
      </c>
      <c r="L942" t="s">
        <v>33</v>
      </c>
      <c r="M942">
        <v>6544.3</v>
      </c>
      <c r="N942" t="str">
        <f t="shared" si="29"/>
        <v>Low</v>
      </c>
    </row>
    <row r="943" spans="1:14" x14ac:dyDescent="0.3">
      <c r="A943" t="s">
        <v>1001</v>
      </c>
      <c r="B943" s="1">
        <v>45536</v>
      </c>
      <c r="C943" s="1" t="str">
        <f t="shared" si="28"/>
        <v>September</v>
      </c>
      <c r="D943" t="s">
        <v>20</v>
      </c>
      <c r="E943" t="s">
        <v>21</v>
      </c>
      <c r="F943" t="s">
        <v>47</v>
      </c>
      <c r="G943">
        <v>1</v>
      </c>
      <c r="H943">
        <v>4478.47</v>
      </c>
      <c r="I943" s="3">
        <v>0.25</v>
      </c>
      <c r="J943" t="s">
        <v>16</v>
      </c>
      <c r="K943" t="s">
        <v>17</v>
      </c>
      <c r="L943" t="s">
        <v>33</v>
      </c>
      <c r="M943">
        <v>3358.85</v>
      </c>
      <c r="N943" t="str">
        <f t="shared" si="29"/>
        <v>Low</v>
      </c>
    </row>
    <row r="944" spans="1:14" x14ac:dyDescent="0.3">
      <c r="A944" t="s">
        <v>1002</v>
      </c>
      <c r="B944" s="1">
        <v>45473</v>
      </c>
      <c r="C944" s="1" t="str">
        <f t="shared" si="28"/>
        <v>June</v>
      </c>
      <c r="D944" t="s">
        <v>25</v>
      </c>
      <c r="E944" t="s">
        <v>31</v>
      </c>
      <c r="F944" t="s">
        <v>27</v>
      </c>
      <c r="G944">
        <v>1</v>
      </c>
      <c r="H944">
        <v>3755.68</v>
      </c>
      <c r="I944" s="3">
        <v>0.05</v>
      </c>
      <c r="J944" t="s">
        <v>16</v>
      </c>
      <c r="K944" t="s">
        <v>49</v>
      </c>
      <c r="L944" t="s">
        <v>33</v>
      </c>
      <c r="M944">
        <v>3567.9</v>
      </c>
      <c r="N944" t="str">
        <f t="shared" si="29"/>
        <v>Low</v>
      </c>
    </row>
    <row r="945" spans="1:14" x14ac:dyDescent="0.3">
      <c r="A945" t="s">
        <v>1003</v>
      </c>
      <c r="B945" s="1">
        <v>45468</v>
      </c>
      <c r="C945" s="1" t="str">
        <f t="shared" si="28"/>
        <v>June</v>
      </c>
      <c r="D945" t="s">
        <v>13</v>
      </c>
      <c r="E945" t="s">
        <v>76</v>
      </c>
      <c r="F945" t="s">
        <v>53</v>
      </c>
      <c r="G945">
        <v>6</v>
      </c>
      <c r="H945">
        <v>1729.67</v>
      </c>
      <c r="I945" s="3">
        <v>0.15</v>
      </c>
      <c r="J945" t="s">
        <v>28</v>
      </c>
      <c r="K945" t="s">
        <v>49</v>
      </c>
      <c r="L945" t="s">
        <v>18</v>
      </c>
      <c r="M945">
        <v>8821.32</v>
      </c>
      <c r="N945" t="str">
        <f t="shared" si="29"/>
        <v>Low</v>
      </c>
    </row>
    <row r="946" spans="1:14" x14ac:dyDescent="0.3">
      <c r="A946" t="s">
        <v>1004</v>
      </c>
      <c r="B946" s="1">
        <v>45395</v>
      </c>
      <c r="C946" s="1" t="str">
        <f t="shared" si="28"/>
        <v>April</v>
      </c>
      <c r="D946" t="s">
        <v>35</v>
      </c>
      <c r="E946" t="s">
        <v>36</v>
      </c>
      <c r="F946" t="s">
        <v>15</v>
      </c>
      <c r="G946">
        <v>2</v>
      </c>
      <c r="H946">
        <v>2591.9</v>
      </c>
      <c r="I946" s="3">
        <v>0</v>
      </c>
      <c r="J946" t="s">
        <v>28</v>
      </c>
      <c r="K946" t="s">
        <v>29</v>
      </c>
      <c r="L946" t="s">
        <v>33</v>
      </c>
      <c r="M946">
        <v>5183.8</v>
      </c>
      <c r="N946" t="str">
        <f t="shared" si="29"/>
        <v>Low</v>
      </c>
    </row>
    <row r="947" spans="1:14" x14ac:dyDescent="0.3">
      <c r="A947" t="s">
        <v>1005</v>
      </c>
      <c r="B947" s="1">
        <v>45551</v>
      </c>
      <c r="C947" s="1" t="str">
        <f t="shared" si="28"/>
        <v>September</v>
      </c>
      <c r="D947" t="s">
        <v>20</v>
      </c>
      <c r="E947" t="s">
        <v>57</v>
      </c>
      <c r="F947" t="s">
        <v>47</v>
      </c>
      <c r="G947">
        <v>1</v>
      </c>
      <c r="H947">
        <v>1078.44</v>
      </c>
      <c r="I947" s="3">
        <v>0.05</v>
      </c>
      <c r="J947" t="s">
        <v>16</v>
      </c>
      <c r="K947" t="s">
        <v>17</v>
      </c>
      <c r="L947" t="s">
        <v>33</v>
      </c>
      <c r="M947">
        <v>1024.52</v>
      </c>
      <c r="N947" t="str">
        <f t="shared" si="29"/>
        <v>Low</v>
      </c>
    </row>
    <row r="948" spans="1:14" x14ac:dyDescent="0.3">
      <c r="A948" t="s">
        <v>1006</v>
      </c>
      <c r="B948" s="1">
        <v>45488</v>
      </c>
      <c r="C948" s="1" t="str">
        <f t="shared" si="28"/>
        <v>July</v>
      </c>
      <c r="D948" t="s">
        <v>25</v>
      </c>
      <c r="E948" t="s">
        <v>46</v>
      </c>
      <c r="F948" t="s">
        <v>15</v>
      </c>
      <c r="G948">
        <v>3</v>
      </c>
      <c r="H948">
        <v>2092.41</v>
      </c>
      <c r="I948" s="3">
        <v>0.2</v>
      </c>
      <c r="J948" t="s">
        <v>16</v>
      </c>
      <c r="K948" t="s">
        <v>40</v>
      </c>
      <c r="L948" t="s">
        <v>33</v>
      </c>
      <c r="M948">
        <v>5021.78</v>
      </c>
      <c r="N948" t="str">
        <f t="shared" si="29"/>
        <v>Low</v>
      </c>
    </row>
    <row r="949" spans="1:14" x14ac:dyDescent="0.3">
      <c r="A949" t="s">
        <v>1007</v>
      </c>
      <c r="B949" s="1">
        <v>45487</v>
      </c>
      <c r="C949" s="1" t="str">
        <f t="shared" si="28"/>
        <v>July</v>
      </c>
      <c r="D949" t="s">
        <v>20</v>
      </c>
      <c r="E949" t="s">
        <v>61</v>
      </c>
      <c r="F949" t="s">
        <v>15</v>
      </c>
      <c r="G949">
        <v>5</v>
      </c>
      <c r="H949">
        <v>1610.33</v>
      </c>
      <c r="I949" s="3">
        <v>0.2</v>
      </c>
      <c r="J949" t="s">
        <v>16</v>
      </c>
      <c r="K949" t="s">
        <v>17</v>
      </c>
      <c r="L949" t="s">
        <v>33</v>
      </c>
      <c r="M949">
        <v>6441.32</v>
      </c>
      <c r="N949" t="str">
        <f t="shared" si="29"/>
        <v>Low</v>
      </c>
    </row>
    <row r="950" spans="1:14" x14ac:dyDescent="0.3">
      <c r="A950" t="s">
        <v>1008</v>
      </c>
      <c r="B950" s="1">
        <v>45602</v>
      </c>
      <c r="C950" s="1" t="str">
        <f t="shared" si="28"/>
        <v>November</v>
      </c>
      <c r="D950" t="s">
        <v>38</v>
      </c>
      <c r="E950" t="s">
        <v>100</v>
      </c>
      <c r="F950" t="s">
        <v>1160</v>
      </c>
      <c r="G950">
        <v>2</v>
      </c>
      <c r="H950">
        <v>4050.22</v>
      </c>
      <c r="I950" s="3">
        <v>0</v>
      </c>
      <c r="J950" t="s">
        <v>28</v>
      </c>
      <c r="K950" t="s">
        <v>17</v>
      </c>
      <c r="L950" t="s">
        <v>33</v>
      </c>
      <c r="M950">
        <v>8100.44</v>
      </c>
      <c r="N950" t="str">
        <f t="shared" si="29"/>
        <v>Low</v>
      </c>
    </row>
    <row r="951" spans="1:14" x14ac:dyDescent="0.3">
      <c r="A951" t="s">
        <v>1009</v>
      </c>
      <c r="B951" s="1">
        <v>45457</v>
      </c>
      <c r="C951" s="1" t="str">
        <f t="shared" si="28"/>
        <v>June</v>
      </c>
      <c r="D951" t="s">
        <v>13</v>
      </c>
      <c r="E951" t="s">
        <v>76</v>
      </c>
      <c r="F951" t="s">
        <v>32</v>
      </c>
      <c r="G951">
        <v>1</v>
      </c>
      <c r="H951">
        <v>2879.62</v>
      </c>
      <c r="I951" s="3">
        <v>0</v>
      </c>
      <c r="J951" t="s">
        <v>16</v>
      </c>
      <c r="K951" t="s">
        <v>40</v>
      </c>
      <c r="L951" t="s">
        <v>33</v>
      </c>
      <c r="M951">
        <v>2879.62</v>
      </c>
      <c r="N951" t="str">
        <f t="shared" si="29"/>
        <v>Low</v>
      </c>
    </row>
    <row r="952" spans="1:14" x14ac:dyDescent="0.3">
      <c r="A952" t="s">
        <v>1010</v>
      </c>
      <c r="B952" s="1">
        <v>45631</v>
      </c>
      <c r="C952" s="1" t="str">
        <f t="shared" si="28"/>
        <v>December</v>
      </c>
      <c r="D952" t="s">
        <v>13</v>
      </c>
      <c r="E952" t="s">
        <v>74</v>
      </c>
      <c r="F952" t="s">
        <v>1160</v>
      </c>
      <c r="G952">
        <v>2</v>
      </c>
      <c r="H952">
        <v>5010.3100000000004</v>
      </c>
      <c r="I952" s="3">
        <v>0.25</v>
      </c>
      <c r="J952" t="s">
        <v>16</v>
      </c>
      <c r="K952" t="s">
        <v>29</v>
      </c>
      <c r="L952" t="s">
        <v>33</v>
      </c>
      <c r="M952">
        <v>7515.47</v>
      </c>
      <c r="N952" t="str">
        <f t="shared" si="29"/>
        <v>Low</v>
      </c>
    </row>
    <row r="953" spans="1:14" x14ac:dyDescent="0.3">
      <c r="A953" t="s">
        <v>1011</v>
      </c>
      <c r="B953" s="1">
        <v>45616</v>
      </c>
      <c r="C953" s="1" t="str">
        <f t="shared" si="28"/>
        <v>November</v>
      </c>
      <c r="D953" t="s">
        <v>38</v>
      </c>
      <c r="E953" t="s">
        <v>42</v>
      </c>
      <c r="F953" t="s">
        <v>32</v>
      </c>
      <c r="G953">
        <v>1</v>
      </c>
      <c r="H953">
        <v>870.16</v>
      </c>
      <c r="I953" s="3">
        <v>0.1</v>
      </c>
      <c r="J953" t="s">
        <v>55</v>
      </c>
      <c r="K953" t="s">
        <v>29</v>
      </c>
      <c r="L953" t="s">
        <v>33</v>
      </c>
      <c r="M953">
        <v>783.14</v>
      </c>
      <c r="N953" t="str">
        <f t="shared" si="29"/>
        <v>Low</v>
      </c>
    </row>
    <row r="954" spans="1:14" x14ac:dyDescent="0.3">
      <c r="A954" t="s">
        <v>1012</v>
      </c>
      <c r="B954" s="1">
        <v>45418</v>
      </c>
      <c r="C954" s="1" t="str">
        <f t="shared" si="28"/>
        <v>May</v>
      </c>
      <c r="D954" t="s">
        <v>38</v>
      </c>
      <c r="E954" t="s">
        <v>39</v>
      </c>
      <c r="F954" t="s">
        <v>53</v>
      </c>
      <c r="G954">
        <v>5</v>
      </c>
      <c r="H954">
        <v>5726.81</v>
      </c>
      <c r="I954" s="3">
        <v>0.2</v>
      </c>
      <c r="J954" t="s">
        <v>28</v>
      </c>
      <c r="K954" t="s">
        <v>49</v>
      </c>
      <c r="L954" t="s">
        <v>33</v>
      </c>
      <c r="M954">
        <v>22907.24</v>
      </c>
      <c r="N954" t="str">
        <f t="shared" si="29"/>
        <v>High</v>
      </c>
    </row>
    <row r="955" spans="1:14" x14ac:dyDescent="0.3">
      <c r="A955" t="s">
        <v>1013</v>
      </c>
      <c r="B955" s="1">
        <v>45418</v>
      </c>
      <c r="C955" s="1" t="str">
        <f t="shared" si="28"/>
        <v>May</v>
      </c>
      <c r="D955" t="s">
        <v>20</v>
      </c>
      <c r="E955" t="s">
        <v>78</v>
      </c>
      <c r="F955" t="s">
        <v>32</v>
      </c>
      <c r="G955">
        <v>3</v>
      </c>
      <c r="H955">
        <v>7555.24</v>
      </c>
      <c r="I955" s="3">
        <v>0.25</v>
      </c>
      <c r="J955" t="s">
        <v>28</v>
      </c>
      <c r="K955" t="s">
        <v>29</v>
      </c>
      <c r="L955" t="s">
        <v>33</v>
      </c>
      <c r="M955">
        <v>16999.29</v>
      </c>
      <c r="N955" t="str">
        <f t="shared" si="29"/>
        <v>Medium</v>
      </c>
    </row>
    <row r="956" spans="1:14" x14ac:dyDescent="0.3">
      <c r="A956" t="s">
        <v>1014</v>
      </c>
      <c r="B956" s="1">
        <v>45372</v>
      </c>
      <c r="C956" s="1" t="str">
        <f t="shared" si="28"/>
        <v>March</v>
      </c>
      <c r="D956" t="s">
        <v>13</v>
      </c>
      <c r="E956" t="s">
        <v>108</v>
      </c>
      <c r="F956" t="s">
        <v>44</v>
      </c>
      <c r="G956">
        <v>6</v>
      </c>
      <c r="H956">
        <v>5233.96</v>
      </c>
      <c r="I956" s="3">
        <v>0.2</v>
      </c>
      <c r="J956" t="s">
        <v>28</v>
      </c>
      <c r="K956" t="s">
        <v>40</v>
      </c>
      <c r="L956" t="s">
        <v>33</v>
      </c>
      <c r="M956">
        <v>25123.01</v>
      </c>
      <c r="N956" t="str">
        <f t="shared" si="29"/>
        <v>High</v>
      </c>
    </row>
    <row r="957" spans="1:14" x14ac:dyDescent="0.3">
      <c r="A957" t="s">
        <v>1015</v>
      </c>
      <c r="B957" s="1">
        <v>45302</v>
      </c>
      <c r="C957" s="1" t="str">
        <f t="shared" si="28"/>
        <v>January</v>
      </c>
      <c r="D957" t="s">
        <v>38</v>
      </c>
      <c r="E957" t="s">
        <v>100</v>
      </c>
      <c r="F957" t="s">
        <v>53</v>
      </c>
      <c r="G957">
        <v>1</v>
      </c>
      <c r="H957">
        <v>3488.69</v>
      </c>
      <c r="I957" s="3">
        <v>0.05</v>
      </c>
      <c r="J957" t="s">
        <v>28</v>
      </c>
      <c r="K957" t="s">
        <v>40</v>
      </c>
      <c r="L957" t="s">
        <v>33</v>
      </c>
      <c r="M957">
        <v>3314.26</v>
      </c>
      <c r="N957" t="str">
        <f t="shared" si="29"/>
        <v>Low</v>
      </c>
    </row>
    <row r="958" spans="1:14" x14ac:dyDescent="0.3">
      <c r="A958" t="s">
        <v>1016</v>
      </c>
      <c r="B958" s="1">
        <v>45458</v>
      </c>
      <c r="C958" s="1" t="str">
        <f t="shared" si="28"/>
        <v>June</v>
      </c>
      <c r="D958" t="s">
        <v>25</v>
      </c>
      <c r="E958" t="s">
        <v>26</v>
      </c>
      <c r="F958" t="s">
        <v>15</v>
      </c>
      <c r="G958">
        <v>3</v>
      </c>
      <c r="H958">
        <v>422.29</v>
      </c>
      <c r="I958" s="3">
        <v>0.1</v>
      </c>
      <c r="J958" t="s">
        <v>16</v>
      </c>
      <c r="K958" t="s">
        <v>23</v>
      </c>
      <c r="L958" t="s">
        <v>33</v>
      </c>
      <c r="M958">
        <v>1140.18</v>
      </c>
      <c r="N958" t="str">
        <f t="shared" si="29"/>
        <v>Low</v>
      </c>
    </row>
    <row r="959" spans="1:14" x14ac:dyDescent="0.3">
      <c r="A959" t="s">
        <v>1017</v>
      </c>
      <c r="B959" s="1">
        <v>45356</v>
      </c>
      <c r="C959" s="1" t="str">
        <f t="shared" si="28"/>
        <v>March</v>
      </c>
      <c r="D959" t="s">
        <v>13</v>
      </c>
      <c r="E959" t="s">
        <v>14</v>
      </c>
      <c r="F959" t="s">
        <v>80</v>
      </c>
      <c r="G959">
        <v>3</v>
      </c>
      <c r="H959">
        <v>3004.09</v>
      </c>
      <c r="I959" s="3">
        <v>0.2</v>
      </c>
      <c r="J959" t="s">
        <v>55</v>
      </c>
      <c r="K959" t="s">
        <v>23</v>
      </c>
      <c r="L959" t="s">
        <v>33</v>
      </c>
      <c r="M959">
        <v>7209.82</v>
      </c>
      <c r="N959" t="str">
        <f t="shared" si="29"/>
        <v>Low</v>
      </c>
    </row>
    <row r="960" spans="1:14" x14ac:dyDescent="0.3">
      <c r="A960" t="s">
        <v>1018</v>
      </c>
      <c r="B960" s="1">
        <v>45437</v>
      </c>
      <c r="C960" s="1" t="str">
        <f t="shared" si="28"/>
        <v>May</v>
      </c>
      <c r="D960" t="s">
        <v>35</v>
      </c>
      <c r="E960" t="s">
        <v>65</v>
      </c>
      <c r="F960" t="s">
        <v>80</v>
      </c>
      <c r="G960">
        <v>1</v>
      </c>
      <c r="H960">
        <v>3760.96</v>
      </c>
      <c r="I960" s="3">
        <v>0.1</v>
      </c>
      <c r="J960" t="s">
        <v>28</v>
      </c>
      <c r="K960" t="s">
        <v>23</v>
      </c>
      <c r="L960" t="s">
        <v>33</v>
      </c>
      <c r="M960">
        <v>3384.86</v>
      </c>
      <c r="N960" t="str">
        <f t="shared" si="29"/>
        <v>Low</v>
      </c>
    </row>
    <row r="961" spans="1:14" x14ac:dyDescent="0.3">
      <c r="A961" t="s">
        <v>1019</v>
      </c>
      <c r="B961" s="1">
        <v>45572</v>
      </c>
      <c r="C961" s="1" t="str">
        <f t="shared" si="28"/>
        <v>October</v>
      </c>
      <c r="D961" t="s">
        <v>25</v>
      </c>
      <c r="E961" t="s">
        <v>26</v>
      </c>
      <c r="F961" t="s">
        <v>80</v>
      </c>
      <c r="G961">
        <v>4</v>
      </c>
      <c r="H961">
        <v>6142.96</v>
      </c>
      <c r="I961" s="3">
        <v>0.1</v>
      </c>
      <c r="J961" t="s">
        <v>16</v>
      </c>
      <c r="K961" t="s">
        <v>23</v>
      </c>
      <c r="L961" t="s">
        <v>33</v>
      </c>
      <c r="M961">
        <v>22114.66</v>
      </c>
      <c r="N961" t="str">
        <f t="shared" si="29"/>
        <v>High</v>
      </c>
    </row>
    <row r="962" spans="1:14" x14ac:dyDescent="0.3">
      <c r="A962" t="s">
        <v>1020</v>
      </c>
      <c r="B962" s="1">
        <v>45552</v>
      </c>
      <c r="C962" s="1" t="str">
        <f t="shared" ref="C962:C1025" si="30">TEXT(B962,"mmmm")</f>
        <v>September</v>
      </c>
      <c r="D962" t="s">
        <v>20</v>
      </c>
      <c r="E962" t="s">
        <v>61</v>
      </c>
      <c r="F962" t="s">
        <v>15</v>
      </c>
      <c r="G962">
        <v>3</v>
      </c>
      <c r="H962">
        <v>7243.16</v>
      </c>
      <c r="I962" s="3">
        <v>0.05</v>
      </c>
      <c r="J962" t="s">
        <v>16</v>
      </c>
      <c r="K962" t="s">
        <v>17</v>
      </c>
      <c r="L962" t="s">
        <v>18</v>
      </c>
      <c r="M962">
        <v>20643.009999999998</v>
      </c>
      <c r="N962" t="str">
        <f t="shared" ref="N962:N1025" si="31">IF(M962&gt;20000,"High",IF(M962&gt;10000,"Medium","Low"))</f>
        <v>High</v>
      </c>
    </row>
    <row r="963" spans="1:14" x14ac:dyDescent="0.3">
      <c r="A963" t="s">
        <v>1021</v>
      </c>
      <c r="B963" s="1">
        <v>45456</v>
      </c>
      <c r="C963" s="1" t="str">
        <f t="shared" si="30"/>
        <v>June</v>
      </c>
      <c r="D963" t="s">
        <v>25</v>
      </c>
      <c r="E963" t="s">
        <v>26</v>
      </c>
      <c r="F963" t="s">
        <v>47</v>
      </c>
      <c r="G963">
        <v>6</v>
      </c>
      <c r="H963">
        <v>4285.9799999999996</v>
      </c>
      <c r="I963" s="3">
        <v>0.1</v>
      </c>
      <c r="J963" t="s">
        <v>55</v>
      </c>
      <c r="K963" t="s">
        <v>40</v>
      </c>
      <c r="L963" t="s">
        <v>18</v>
      </c>
      <c r="M963">
        <v>23144.29</v>
      </c>
      <c r="N963" t="str">
        <f t="shared" si="31"/>
        <v>High</v>
      </c>
    </row>
    <row r="964" spans="1:14" x14ac:dyDescent="0.3">
      <c r="A964" t="s">
        <v>1022</v>
      </c>
      <c r="B964" s="1">
        <v>45584</v>
      </c>
      <c r="C964" s="1" t="str">
        <f t="shared" si="30"/>
        <v>October</v>
      </c>
      <c r="D964" t="s">
        <v>20</v>
      </c>
      <c r="E964" t="s">
        <v>78</v>
      </c>
      <c r="F964" t="s">
        <v>80</v>
      </c>
      <c r="G964">
        <v>6</v>
      </c>
      <c r="H964">
        <v>4845.8100000000004</v>
      </c>
      <c r="I964" s="3">
        <v>0</v>
      </c>
      <c r="J964" t="s">
        <v>22</v>
      </c>
      <c r="K964" t="s">
        <v>23</v>
      </c>
      <c r="L964" t="s">
        <v>33</v>
      </c>
      <c r="M964">
        <v>29074.86</v>
      </c>
      <c r="N964" t="str">
        <f t="shared" si="31"/>
        <v>High</v>
      </c>
    </row>
    <row r="965" spans="1:14" x14ac:dyDescent="0.3">
      <c r="A965" t="s">
        <v>1023</v>
      </c>
      <c r="B965" s="1">
        <v>45562</v>
      </c>
      <c r="C965" s="1" t="str">
        <f t="shared" si="30"/>
        <v>September</v>
      </c>
      <c r="D965" t="s">
        <v>20</v>
      </c>
      <c r="E965" t="s">
        <v>78</v>
      </c>
      <c r="F965" t="s">
        <v>15</v>
      </c>
      <c r="G965">
        <v>4</v>
      </c>
      <c r="H965">
        <v>1943.27</v>
      </c>
      <c r="I965" s="3">
        <v>0.25</v>
      </c>
      <c r="J965" t="s">
        <v>55</v>
      </c>
      <c r="K965" t="s">
        <v>23</v>
      </c>
      <c r="L965" t="s">
        <v>33</v>
      </c>
      <c r="M965">
        <v>5829.81</v>
      </c>
      <c r="N965" t="str">
        <f t="shared" si="31"/>
        <v>Low</v>
      </c>
    </row>
    <row r="966" spans="1:14" x14ac:dyDescent="0.3">
      <c r="A966" t="s">
        <v>1024</v>
      </c>
      <c r="B966" s="1">
        <v>45349</v>
      </c>
      <c r="C966" s="1" t="str">
        <f t="shared" si="30"/>
        <v>February</v>
      </c>
      <c r="D966" t="s">
        <v>38</v>
      </c>
      <c r="E966" t="s">
        <v>51</v>
      </c>
      <c r="F966" t="s">
        <v>27</v>
      </c>
      <c r="G966">
        <v>6</v>
      </c>
      <c r="H966">
        <v>719.52</v>
      </c>
      <c r="I966" s="3">
        <v>0.25</v>
      </c>
      <c r="J966" t="s">
        <v>16</v>
      </c>
      <c r="K966" t="s">
        <v>17</v>
      </c>
      <c r="L966" t="s">
        <v>33</v>
      </c>
      <c r="M966">
        <v>3237.84</v>
      </c>
      <c r="N966" t="str">
        <f t="shared" si="31"/>
        <v>Low</v>
      </c>
    </row>
    <row r="967" spans="1:14" x14ac:dyDescent="0.3">
      <c r="A967" t="s">
        <v>1025</v>
      </c>
      <c r="B967" s="1">
        <v>45358</v>
      </c>
      <c r="C967" s="1" t="str">
        <f t="shared" si="30"/>
        <v>March</v>
      </c>
      <c r="D967" t="s">
        <v>35</v>
      </c>
      <c r="E967" t="s">
        <v>63</v>
      </c>
      <c r="F967" t="s">
        <v>80</v>
      </c>
      <c r="G967">
        <v>4</v>
      </c>
      <c r="H967">
        <v>7430.46</v>
      </c>
      <c r="I967" s="3">
        <v>0.1</v>
      </c>
      <c r="J967" t="s">
        <v>16</v>
      </c>
      <c r="K967" t="s">
        <v>49</v>
      </c>
      <c r="L967" t="s">
        <v>33</v>
      </c>
      <c r="M967">
        <v>26749.66</v>
      </c>
      <c r="N967" t="str">
        <f t="shared" si="31"/>
        <v>High</v>
      </c>
    </row>
    <row r="968" spans="1:14" x14ac:dyDescent="0.3">
      <c r="A968" t="s">
        <v>1026</v>
      </c>
      <c r="B968" s="1">
        <v>45346</v>
      </c>
      <c r="C968" s="1" t="str">
        <f t="shared" si="30"/>
        <v>February</v>
      </c>
      <c r="D968" t="s">
        <v>25</v>
      </c>
      <c r="E968" t="s">
        <v>26</v>
      </c>
      <c r="F968" t="s">
        <v>27</v>
      </c>
      <c r="G968">
        <v>5</v>
      </c>
      <c r="H968">
        <v>3489.65</v>
      </c>
      <c r="I968" s="3">
        <v>0.1</v>
      </c>
      <c r="J968" t="s">
        <v>55</v>
      </c>
      <c r="K968" t="s">
        <v>29</v>
      </c>
      <c r="L968" t="s">
        <v>33</v>
      </c>
      <c r="M968">
        <v>15703.43</v>
      </c>
      <c r="N968" t="str">
        <f t="shared" si="31"/>
        <v>Medium</v>
      </c>
    </row>
    <row r="969" spans="1:14" x14ac:dyDescent="0.3">
      <c r="A969" t="s">
        <v>1027</v>
      </c>
      <c r="B969" s="1">
        <v>45321</v>
      </c>
      <c r="C969" s="1" t="str">
        <f t="shared" si="30"/>
        <v>January</v>
      </c>
      <c r="D969" t="s">
        <v>25</v>
      </c>
      <c r="E969" t="s">
        <v>94</v>
      </c>
      <c r="F969" t="s">
        <v>53</v>
      </c>
      <c r="G969">
        <v>3</v>
      </c>
      <c r="H969">
        <v>979.15</v>
      </c>
      <c r="I969" s="3">
        <v>0.25</v>
      </c>
      <c r="J969" t="s">
        <v>16</v>
      </c>
      <c r="K969" t="s">
        <v>29</v>
      </c>
      <c r="L969" t="s">
        <v>33</v>
      </c>
      <c r="M969">
        <v>2203.09</v>
      </c>
      <c r="N969" t="str">
        <f t="shared" si="31"/>
        <v>Low</v>
      </c>
    </row>
    <row r="970" spans="1:14" x14ac:dyDescent="0.3">
      <c r="A970" t="s">
        <v>1028</v>
      </c>
      <c r="B970" s="1">
        <v>45312</v>
      </c>
      <c r="C970" s="1" t="str">
        <f t="shared" si="30"/>
        <v>January</v>
      </c>
      <c r="D970" t="s">
        <v>35</v>
      </c>
      <c r="E970" t="s">
        <v>36</v>
      </c>
      <c r="F970" t="s">
        <v>1160</v>
      </c>
      <c r="G970">
        <v>1</v>
      </c>
      <c r="H970">
        <v>3943.45</v>
      </c>
      <c r="I970" s="3">
        <v>0</v>
      </c>
      <c r="J970" t="s">
        <v>28</v>
      </c>
      <c r="K970" t="s">
        <v>17</v>
      </c>
      <c r="L970" t="s">
        <v>18</v>
      </c>
      <c r="M970">
        <v>3943.45</v>
      </c>
      <c r="N970" t="str">
        <f t="shared" si="31"/>
        <v>Low</v>
      </c>
    </row>
    <row r="971" spans="1:14" x14ac:dyDescent="0.3">
      <c r="A971" t="s">
        <v>1029</v>
      </c>
      <c r="B971" s="1">
        <v>45481</v>
      </c>
      <c r="C971" s="1" t="str">
        <f t="shared" si="30"/>
        <v>July</v>
      </c>
      <c r="D971" t="s">
        <v>38</v>
      </c>
      <c r="E971" t="s">
        <v>51</v>
      </c>
      <c r="F971" t="s">
        <v>15</v>
      </c>
      <c r="G971">
        <v>4</v>
      </c>
      <c r="H971">
        <v>5864.03</v>
      </c>
      <c r="I971" s="3">
        <v>0.25</v>
      </c>
      <c r="J971" t="s">
        <v>16</v>
      </c>
      <c r="K971" t="s">
        <v>17</v>
      </c>
      <c r="L971" t="s">
        <v>33</v>
      </c>
      <c r="M971">
        <v>17592.09</v>
      </c>
      <c r="N971" t="str">
        <f t="shared" si="31"/>
        <v>Medium</v>
      </c>
    </row>
    <row r="972" spans="1:14" x14ac:dyDescent="0.3">
      <c r="A972" t="s">
        <v>1030</v>
      </c>
      <c r="B972" s="1">
        <v>45634</v>
      </c>
      <c r="C972" s="1" t="str">
        <f t="shared" si="30"/>
        <v>December</v>
      </c>
      <c r="D972" t="s">
        <v>35</v>
      </c>
      <c r="E972" t="s">
        <v>97</v>
      </c>
      <c r="F972" t="s">
        <v>80</v>
      </c>
      <c r="G972">
        <v>1</v>
      </c>
      <c r="H972">
        <v>1337.67</v>
      </c>
      <c r="I972" s="3">
        <v>0.05</v>
      </c>
      <c r="J972" t="s">
        <v>16</v>
      </c>
      <c r="K972" t="s">
        <v>23</v>
      </c>
      <c r="L972" t="s">
        <v>33</v>
      </c>
      <c r="M972">
        <v>1270.79</v>
      </c>
      <c r="N972" t="str">
        <f t="shared" si="31"/>
        <v>Low</v>
      </c>
    </row>
    <row r="973" spans="1:14" x14ac:dyDescent="0.3">
      <c r="A973" t="s">
        <v>1031</v>
      </c>
      <c r="B973" s="1">
        <v>45310</v>
      </c>
      <c r="C973" s="1" t="str">
        <f t="shared" si="30"/>
        <v>January</v>
      </c>
      <c r="D973" t="s">
        <v>13</v>
      </c>
      <c r="E973" t="s">
        <v>76</v>
      </c>
      <c r="F973" t="s">
        <v>32</v>
      </c>
      <c r="G973">
        <v>1</v>
      </c>
      <c r="H973">
        <v>1236.5</v>
      </c>
      <c r="I973" s="3">
        <v>0</v>
      </c>
      <c r="J973" t="s">
        <v>22</v>
      </c>
      <c r="K973" t="s">
        <v>23</v>
      </c>
      <c r="L973" t="s">
        <v>18</v>
      </c>
      <c r="M973">
        <v>1236.5</v>
      </c>
      <c r="N973" t="str">
        <f t="shared" si="31"/>
        <v>Low</v>
      </c>
    </row>
    <row r="974" spans="1:14" x14ac:dyDescent="0.3">
      <c r="A974" t="s">
        <v>1032</v>
      </c>
      <c r="B974" s="1">
        <v>45314</v>
      </c>
      <c r="C974" s="1" t="str">
        <f t="shared" si="30"/>
        <v>January</v>
      </c>
      <c r="D974" t="s">
        <v>25</v>
      </c>
      <c r="E974" t="s">
        <v>87</v>
      </c>
      <c r="F974" t="s">
        <v>53</v>
      </c>
      <c r="G974">
        <v>6</v>
      </c>
      <c r="H974">
        <v>6452.16</v>
      </c>
      <c r="I974" s="3">
        <v>0.2</v>
      </c>
      <c r="J974" t="s">
        <v>16</v>
      </c>
      <c r="K974" t="s">
        <v>49</v>
      </c>
      <c r="L974" t="s">
        <v>33</v>
      </c>
      <c r="M974">
        <v>30970.37</v>
      </c>
      <c r="N974" t="str">
        <f t="shared" si="31"/>
        <v>High</v>
      </c>
    </row>
    <row r="975" spans="1:14" x14ac:dyDescent="0.3">
      <c r="A975" t="s">
        <v>1033</v>
      </c>
      <c r="B975" s="1">
        <v>45428</v>
      </c>
      <c r="C975" s="1" t="str">
        <f t="shared" si="30"/>
        <v>May</v>
      </c>
      <c r="D975" t="s">
        <v>13</v>
      </c>
      <c r="E975" t="s">
        <v>76</v>
      </c>
      <c r="F975" t="s">
        <v>1160</v>
      </c>
      <c r="G975">
        <v>2</v>
      </c>
      <c r="H975">
        <v>4287.4399999999996</v>
      </c>
      <c r="I975" s="3">
        <v>0</v>
      </c>
      <c r="J975" t="s">
        <v>16</v>
      </c>
      <c r="K975" t="s">
        <v>23</v>
      </c>
      <c r="L975" t="s">
        <v>33</v>
      </c>
      <c r="M975">
        <v>8574.8799999999992</v>
      </c>
      <c r="N975" t="str">
        <f t="shared" si="31"/>
        <v>Low</v>
      </c>
    </row>
    <row r="976" spans="1:14" x14ac:dyDescent="0.3">
      <c r="A976" t="s">
        <v>1034</v>
      </c>
      <c r="B976" s="1">
        <v>45445</v>
      </c>
      <c r="C976" s="1" t="str">
        <f t="shared" si="30"/>
        <v>June</v>
      </c>
      <c r="D976" t="s">
        <v>38</v>
      </c>
      <c r="E976" t="s">
        <v>51</v>
      </c>
      <c r="F976" t="s">
        <v>1160</v>
      </c>
      <c r="G976">
        <v>5</v>
      </c>
      <c r="H976">
        <v>7951.93</v>
      </c>
      <c r="I976" s="3">
        <v>0.1</v>
      </c>
      <c r="J976" t="s">
        <v>16</v>
      </c>
      <c r="K976" t="s">
        <v>29</v>
      </c>
      <c r="L976" t="s">
        <v>18</v>
      </c>
      <c r="M976">
        <v>35783.69</v>
      </c>
      <c r="N976" t="str">
        <f t="shared" si="31"/>
        <v>High</v>
      </c>
    </row>
    <row r="977" spans="1:14" x14ac:dyDescent="0.3">
      <c r="A977" t="s">
        <v>1035</v>
      </c>
      <c r="B977" s="1">
        <v>45573</v>
      </c>
      <c r="C977" s="1" t="str">
        <f t="shared" si="30"/>
        <v>October</v>
      </c>
      <c r="D977" t="s">
        <v>38</v>
      </c>
      <c r="E977" t="s">
        <v>51</v>
      </c>
      <c r="F977" t="s">
        <v>15</v>
      </c>
      <c r="G977">
        <v>5</v>
      </c>
      <c r="H977">
        <v>6204.44</v>
      </c>
      <c r="I977" s="3">
        <v>0</v>
      </c>
      <c r="J977" t="s">
        <v>55</v>
      </c>
      <c r="K977" t="s">
        <v>49</v>
      </c>
      <c r="L977" t="s">
        <v>18</v>
      </c>
      <c r="M977">
        <v>31022.2</v>
      </c>
      <c r="N977" t="str">
        <f t="shared" si="31"/>
        <v>High</v>
      </c>
    </row>
    <row r="978" spans="1:14" x14ac:dyDescent="0.3">
      <c r="A978" t="s">
        <v>1036</v>
      </c>
      <c r="B978" s="1">
        <v>45444</v>
      </c>
      <c r="C978" s="1" t="str">
        <f t="shared" si="30"/>
        <v>June</v>
      </c>
      <c r="D978" t="s">
        <v>38</v>
      </c>
      <c r="E978" t="s">
        <v>100</v>
      </c>
      <c r="F978" t="s">
        <v>53</v>
      </c>
      <c r="G978">
        <v>3</v>
      </c>
      <c r="H978">
        <v>4840.75</v>
      </c>
      <c r="I978" s="3">
        <v>0.1</v>
      </c>
      <c r="J978" t="s">
        <v>28</v>
      </c>
      <c r="K978" t="s">
        <v>29</v>
      </c>
      <c r="L978" t="s">
        <v>33</v>
      </c>
      <c r="M978">
        <v>13070.02</v>
      </c>
      <c r="N978" t="str">
        <f t="shared" si="31"/>
        <v>Medium</v>
      </c>
    </row>
    <row r="979" spans="1:14" x14ac:dyDescent="0.3">
      <c r="A979" t="s">
        <v>1037</v>
      </c>
      <c r="B979" s="1">
        <v>45325</v>
      </c>
      <c r="C979" s="1" t="str">
        <f t="shared" si="30"/>
        <v>February</v>
      </c>
      <c r="D979" t="s">
        <v>38</v>
      </c>
      <c r="E979" t="s">
        <v>51</v>
      </c>
      <c r="F979" t="s">
        <v>27</v>
      </c>
      <c r="G979">
        <v>5</v>
      </c>
      <c r="H979">
        <v>3496.55</v>
      </c>
      <c r="I979" s="3">
        <v>0.1</v>
      </c>
      <c r="J979" t="s">
        <v>55</v>
      </c>
      <c r="K979" t="s">
        <v>49</v>
      </c>
      <c r="L979" t="s">
        <v>33</v>
      </c>
      <c r="M979">
        <v>15734.48</v>
      </c>
      <c r="N979" t="str">
        <f t="shared" si="31"/>
        <v>Medium</v>
      </c>
    </row>
    <row r="980" spans="1:14" x14ac:dyDescent="0.3">
      <c r="A980" t="s">
        <v>1038</v>
      </c>
      <c r="B980" s="1">
        <v>45383</v>
      </c>
      <c r="C980" s="1" t="str">
        <f t="shared" si="30"/>
        <v>April</v>
      </c>
      <c r="D980" t="s">
        <v>38</v>
      </c>
      <c r="E980" t="s">
        <v>42</v>
      </c>
      <c r="F980" t="s">
        <v>80</v>
      </c>
      <c r="G980">
        <v>5</v>
      </c>
      <c r="H980">
        <v>6051.33</v>
      </c>
      <c r="I980" s="3">
        <v>0.2</v>
      </c>
      <c r="J980" t="s">
        <v>16</v>
      </c>
      <c r="K980" t="s">
        <v>29</v>
      </c>
      <c r="L980" t="s">
        <v>33</v>
      </c>
      <c r="M980">
        <v>24205.32</v>
      </c>
      <c r="N980" t="str">
        <f t="shared" si="31"/>
        <v>High</v>
      </c>
    </row>
    <row r="981" spans="1:14" x14ac:dyDescent="0.3">
      <c r="A981" t="s">
        <v>1039</v>
      </c>
      <c r="B981" s="1">
        <v>45624</v>
      </c>
      <c r="C981" s="1" t="str">
        <f t="shared" si="30"/>
        <v>November</v>
      </c>
      <c r="D981" t="s">
        <v>20</v>
      </c>
      <c r="E981" t="s">
        <v>61</v>
      </c>
      <c r="F981" t="s">
        <v>53</v>
      </c>
      <c r="G981">
        <v>3</v>
      </c>
      <c r="H981">
        <v>4321.53</v>
      </c>
      <c r="I981" s="3">
        <v>0.2</v>
      </c>
      <c r="J981" t="s">
        <v>22</v>
      </c>
      <c r="K981" t="s">
        <v>23</v>
      </c>
      <c r="L981" t="s">
        <v>33</v>
      </c>
      <c r="M981">
        <v>10371.67</v>
      </c>
      <c r="N981" t="str">
        <f t="shared" si="31"/>
        <v>Medium</v>
      </c>
    </row>
    <row r="982" spans="1:14" x14ac:dyDescent="0.3">
      <c r="A982" t="s">
        <v>1040</v>
      </c>
      <c r="B982" s="1">
        <v>45549</v>
      </c>
      <c r="C982" s="1" t="str">
        <f t="shared" si="30"/>
        <v>September</v>
      </c>
      <c r="D982" t="s">
        <v>35</v>
      </c>
      <c r="E982" t="s">
        <v>36</v>
      </c>
      <c r="F982" t="s">
        <v>47</v>
      </c>
      <c r="G982">
        <v>3</v>
      </c>
      <c r="H982">
        <v>3993.38</v>
      </c>
      <c r="I982" s="3">
        <v>0.25</v>
      </c>
      <c r="J982" t="s">
        <v>55</v>
      </c>
      <c r="K982" t="s">
        <v>40</v>
      </c>
      <c r="L982" t="s">
        <v>33</v>
      </c>
      <c r="M982">
        <v>8985.1</v>
      </c>
      <c r="N982" t="str">
        <f t="shared" si="31"/>
        <v>Low</v>
      </c>
    </row>
    <row r="983" spans="1:14" x14ac:dyDescent="0.3">
      <c r="A983" t="s">
        <v>1041</v>
      </c>
      <c r="B983" s="1">
        <v>45410</v>
      </c>
      <c r="C983" s="1" t="str">
        <f t="shared" si="30"/>
        <v>April</v>
      </c>
      <c r="D983" t="s">
        <v>25</v>
      </c>
      <c r="E983" t="s">
        <v>46</v>
      </c>
      <c r="F983" t="s">
        <v>1160</v>
      </c>
      <c r="G983">
        <v>2</v>
      </c>
      <c r="H983">
        <v>7204.78</v>
      </c>
      <c r="I983" s="3">
        <v>0.25</v>
      </c>
      <c r="J983" t="s">
        <v>28</v>
      </c>
      <c r="K983" t="s">
        <v>23</v>
      </c>
      <c r="L983" t="s">
        <v>33</v>
      </c>
      <c r="M983">
        <v>10807.17</v>
      </c>
      <c r="N983" t="str">
        <f t="shared" si="31"/>
        <v>Medium</v>
      </c>
    </row>
    <row r="984" spans="1:14" x14ac:dyDescent="0.3">
      <c r="A984" t="s">
        <v>1042</v>
      </c>
      <c r="B984" s="1">
        <v>45347</v>
      </c>
      <c r="C984" s="1" t="str">
        <f t="shared" si="30"/>
        <v>February</v>
      </c>
      <c r="D984" t="s">
        <v>20</v>
      </c>
      <c r="E984" t="s">
        <v>59</v>
      </c>
      <c r="F984" t="s">
        <v>1160</v>
      </c>
      <c r="G984">
        <v>5</v>
      </c>
      <c r="H984">
        <v>7808.24</v>
      </c>
      <c r="I984" s="3">
        <v>0.1</v>
      </c>
      <c r="J984" t="s">
        <v>16</v>
      </c>
      <c r="K984" t="s">
        <v>17</v>
      </c>
      <c r="L984" t="s">
        <v>33</v>
      </c>
      <c r="M984">
        <v>35137.08</v>
      </c>
      <c r="N984" t="str">
        <f t="shared" si="31"/>
        <v>High</v>
      </c>
    </row>
    <row r="985" spans="1:14" x14ac:dyDescent="0.3">
      <c r="A985" t="s">
        <v>1043</v>
      </c>
      <c r="B985" s="1">
        <v>45569</v>
      </c>
      <c r="C985" s="1" t="str">
        <f t="shared" si="30"/>
        <v>October</v>
      </c>
      <c r="D985" t="s">
        <v>35</v>
      </c>
      <c r="E985" t="s">
        <v>36</v>
      </c>
      <c r="F985" t="s">
        <v>1160</v>
      </c>
      <c r="G985">
        <v>2</v>
      </c>
      <c r="H985">
        <v>2020.28</v>
      </c>
      <c r="I985" s="3">
        <v>0.15</v>
      </c>
      <c r="J985" t="s">
        <v>16</v>
      </c>
      <c r="K985" t="s">
        <v>29</v>
      </c>
      <c r="L985" t="s">
        <v>33</v>
      </c>
      <c r="M985">
        <v>3434.48</v>
      </c>
      <c r="N985" t="str">
        <f t="shared" si="31"/>
        <v>Low</v>
      </c>
    </row>
    <row r="986" spans="1:14" x14ac:dyDescent="0.3">
      <c r="A986" t="s">
        <v>1044</v>
      </c>
      <c r="B986" s="1">
        <v>45304</v>
      </c>
      <c r="C986" s="1" t="str">
        <f t="shared" si="30"/>
        <v>January</v>
      </c>
      <c r="D986" t="s">
        <v>13</v>
      </c>
      <c r="E986" t="s">
        <v>14</v>
      </c>
      <c r="F986" t="s">
        <v>53</v>
      </c>
      <c r="G986">
        <v>3</v>
      </c>
      <c r="H986">
        <v>506.04</v>
      </c>
      <c r="I986" s="3">
        <v>0</v>
      </c>
      <c r="J986" t="s">
        <v>16</v>
      </c>
      <c r="K986" t="s">
        <v>23</v>
      </c>
      <c r="L986" t="s">
        <v>33</v>
      </c>
      <c r="M986">
        <v>1518.12</v>
      </c>
      <c r="N986" t="str">
        <f t="shared" si="31"/>
        <v>Low</v>
      </c>
    </row>
    <row r="987" spans="1:14" x14ac:dyDescent="0.3">
      <c r="A987" t="s">
        <v>1045</v>
      </c>
      <c r="B987" s="1">
        <v>45451</v>
      </c>
      <c r="C987" s="1" t="str">
        <f t="shared" si="30"/>
        <v>June</v>
      </c>
      <c r="D987" t="s">
        <v>35</v>
      </c>
      <c r="E987" t="s">
        <v>63</v>
      </c>
      <c r="F987" t="s">
        <v>1160</v>
      </c>
      <c r="G987">
        <v>6</v>
      </c>
      <c r="H987">
        <v>890.89</v>
      </c>
      <c r="I987" s="3">
        <v>0.05</v>
      </c>
      <c r="J987" t="s">
        <v>16</v>
      </c>
      <c r="K987" t="s">
        <v>17</v>
      </c>
      <c r="L987" t="s">
        <v>18</v>
      </c>
      <c r="M987">
        <v>5078.07</v>
      </c>
      <c r="N987" t="str">
        <f t="shared" si="31"/>
        <v>Low</v>
      </c>
    </row>
    <row r="988" spans="1:14" x14ac:dyDescent="0.3">
      <c r="A988" t="s">
        <v>1046</v>
      </c>
      <c r="B988" s="1">
        <v>45351</v>
      </c>
      <c r="C988" s="1" t="str">
        <f t="shared" si="30"/>
        <v>February</v>
      </c>
      <c r="D988" t="s">
        <v>35</v>
      </c>
      <c r="E988" t="s">
        <v>65</v>
      </c>
      <c r="F988" t="s">
        <v>53</v>
      </c>
      <c r="G988">
        <v>6</v>
      </c>
      <c r="H988">
        <v>2717.66</v>
      </c>
      <c r="I988" s="3">
        <v>0.05</v>
      </c>
      <c r="J988" t="s">
        <v>28</v>
      </c>
      <c r="K988" t="s">
        <v>17</v>
      </c>
      <c r="L988" t="s">
        <v>33</v>
      </c>
      <c r="M988">
        <v>15490.66</v>
      </c>
      <c r="N988" t="str">
        <f t="shared" si="31"/>
        <v>Medium</v>
      </c>
    </row>
    <row r="989" spans="1:14" x14ac:dyDescent="0.3">
      <c r="A989" t="s">
        <v>1047</v>
      </c>
      <c r="B989" s="1">
        <v>45450</v>
      </c>
      <c r="C989" s="1" t="str">
        <f t="shared" si="30"/>
        <v>June</v>
      </c>
      <c r="D989" t="s">
        <v>20</v>
      </c>
      <c r="E989" t="s">
        <v>57</v>
      </c>
      <c r="F989" t="s">
        <v>80</v>
      </c>
      <c r="G989">
        <v>3</v>
      </c>
      <c r="H989">
        <v>6946.6</v>
      </c>
      <c r="I989" s="3">
        <v>0</v>
      </c>
      <c r="J989" t="s">
        <v>16</v>
      </c>
      <c r="K989" t="s">
        <v>49</v>
      </c>
      <c r="L989" t="s">
        <v>33</v>
      </c>
      <c r="M989">
        <v>20839.8</v>
      </c>
      <c r="N989" t="str">
        <f t="shared" si="31"/>
        <v>High</v>
      </c>
    </row>
    <row r="990" spans="1:14" x14ac:dyDescent="0.3">
      <c r="A990" t="s">
        <v>1048</v>
      </c>
      <c r="B990" s="1">
        <v>45372</v>
      </c>
      <c r="C990" s="1" t="str">
        <f t="shared" si="30"/>
        <v>March</v>
      </c>
      <c r="D990" t="s">
        <v>20</v>
      </c>
      <c r="E990" t="s">
        <v>59</v>
      </c>
      <c r="F990" t="s">
        <v>47</v>
      </c>
      <c r="G990">
        <v>1</v>
      </c>
      <c r="H990">
        <v>3726.26</v>
      </c>
      <c r="I990" s="3">
        <v>0</v>
      </c>
      <c r="J990" t="s">
        <v>16</v>
      </c>
      <c r="K990" t="s">
        <v>29</v>
      </c>
      <c r="L990" t="s">
        <v>33</v>
      </c>
      <c r="M990">
        <v>3726.26</v>
      </c>
      <c r="N990" t="str">
        <f t="shared" si="31"/>
        <v>Low</v>
      </c>
    </row>
    <row r="991" spans="1:14" x14ac:dyDescent="0.3">
      <c r="A991" t="s">
        <v>1049</v>
      </c>
      <c r="B991" s="1">
        <v>45576</v>
      </c>
      <c r="C991" s="1" t="str">
        <f t="shared" si="30"/>
        <v>October</v>
      </c>
      <c r="D991" t="s">
        <v>13</v>
      </c>
      <c r="E991" t="s">
        <v>70</v>
      </c>
      <c r="F991" t="s">
        <v>32</v>
      </c>
      <c r="G991">
        <v>6</v>
      </c>
      <c r="H991">
        <v>2706.34</v>
      </c>
      <c r="I991" s="3">
        <v>0.2</v>
      </c>
      <c r="J991" t="s">
        <v>16</v>
      </c>
      <c r="K991" t="s">
        <v>29</v>
      </c>
      <c r="L991" t="s">
        <v>33</v>
      </c>
      <c r="M991">
        <v>12990.43</v>
      </c>
      <c r="N991" t="str">
        <f t="shared" si="31"/>
        <v>Medium</v>
      </c>
    </row>
    <row r="992" spans="1:14" x14ac:dyDescent="0.3">
      <c r="A992" t="s">
        <v>1050</v>
      </c>
      <c r="B992" s="1">
        <v>45565</v>
      </c>
      <c r="C992" s="1" t="str">
        <f t="shared" si="30"/>
        <v>September</v>
      </c>
      <c r="D992" t="s">
        <v>25</v>
      </c>
      <c r="E992" t="s">
        <v>94</v>
      </c>
      <c r="F992" t="s">
        <v>80</v>
      </c>
      <c r="G992">
        <v>4</v>
      </c>
      <c r="H992">
        <v>731.65</v>
      </c>
      <c r="I992" s="3">
        <v>0.2</v>
      </c>
      <c r="J992" t="s">
        <v>55</v>
      </c>
      <c r="K992" t="s">
        <v>29</v>
      </c>
      <c r="L992" t="s">
        <v>33</v>
      </c>
      <c r="M992">
        <v>2341.2800000000002</v>
      </c>
      <c r="N992" t="str">
        <f t="shared" si="31"/>
        <v>Low</v>
      </c>
    </row>
    <row r="993" spans="1:14" x14ac:dyDescent="0.3">
      <c r="A993" t="s">
        <v>1051</v>
      </c>
      <c r="B993" s="1">
        <v>45547</v>
      </c>
      <c r="C993" s="1" t="str">
        <f t="shared" si="30"/>
        <v>September</v>
      </c>
      <c r="D993" t="s">
        <v>35</v>
      </c>
      <c r="E993" t="s">
        <v>97</v>
      </c>
      <c r="F993" t="s">
        <v>1160</v>
      </c>
      <c r="G993">
        <v>6</v>
      </c>
      <c r="H993">
        <v>6152.75</v>
      </c>
      <c r="I993" s="3">
        <v>0.2</v>
      </c>
      <c r="J993" t="s">
        <v>16</v>
      </c>
      <c r="K993" t="s">
        <v>17</v>
      </c>
      <c r="L993" t="s">
        <v>33</v>
      </c>
      <c r="M993">
        <v>29533.200000000001</v>
      </c>
      <c r="N993" t="str">
        <f t="shared" si="31"/>
        <v>High</v>
      </c>
    </row>
    <row r="994" spans="1:14" x14ac:dyDescent="0.3">
      <c r="A994" t="s">
        <v>1052</v>
      </c>
      <c r="B994" s="1">
        <v>45316</v>
      </c>
      <c r="C994" s="1" t="str">
        <f t="shared" si="30"/>
        <v>January</v>
      </c>
      <c r="D994" t="s">
        <v>38</v>
      </c>
      <c r="E994" t="s">
        <v>100</v>
      </c>
      <c r="F994" t="s">
        <v>32</v>
      </c>
      <c r="G994">
        <v>2</v>
      </c>
      <c r="H994">
        <v>6796.24</v>
      </c>
      <c r="I994" s="3">
        <v>0.15</v>
      </c>
      <c r="J994" t="s">
        <v>16</v>
      </c>
      <c r="K994" t="s">
        <v>23</v>
      </c>
      <c r="L994" t="s">
        <v>33</v>
      </c>
      <c r="M994">
        <v>11553.61</v>
      </c>
      <c r="N994" t="str">
        <f t="shared" si="31"/>
        <v>Medium</v>
      </c>
    </row>
    <row r="995" spans="1:14" x14ac:dyDescent="0.3">
      <c r="A995" t="s">
        <v>1053</v>
      </c>
      <c r="B995" s="1">
        <v>45540</v>
      </c>
      <c r="C995" s="1" t="str">
        <f t="shared" si="30"/>
        <v>September</v>
      </c>
      <c r="D995" t="s">
        <v>20</v>
      </c>
      <c r="E995" t="s">
        <v>57</v>
      </c>
      <c r="F995" t="s">
        <v>80</v>
      </c>
      <c r="G995">
        <v>1</v>
      </c>
      <c r="H995">
        <v>2784.89</v>
      </c>
      <c r="I995" s="3">
        <v>0</v>
      </c>
      <c r="J995" t="s">
        <v>16</v>
      </c>
      <c r="K995" t="s">
        <v>17</v>
      </c>
      <c r="L995" t="s">
        <v>18</v>
      </c>
      <c r="M995">
        <v>2784.89</v>
      </c>
      <c r="N995" t="str">
        <f t="shared" si="31"/>
        <v>Low</v>
      </c>
    </row>
    <row r="996" spans="1:14" x14ac:dyDescent="0.3">
      <c r="A996" t="s">
        <v>1054</v>
      </c>
      <c r="B996" s="1">
        <v>45513</v>
      </c>
      <c r="C996" s="1" t="str">
        <f t="shared" si="30"/>
        <v>August</v>
      </c>
      <c r="D996" t="s">
        <v>38</v>
      </c>
      <c r="E996" t="s">
        <v>39</v>
      </c>
      <c r="F996" t="s">
        <v>80</v>
      </c>
      <c r="G996">
        <v>1</v>
      </c>
      <c r="H996">
        <v>283.52</v>
      </c>
      <c r="I996" s="3">
        <v>0</v>
      </c>
      <c r="J996" t="s">
        <v>22</v>
      </c>
      <c r="K996" t="s">
        <v>23</v>
      </c>
      <c r="L996" t="s">
        <v>33</v>
      </c>
      <c r="M996">
        <v>283.52</v>
      </c>
      <c r="N996" t="str">
        <f t="shared" si="31"/>
        <v>Low</v>
      </c>
    </row>
    <row r="997" spans="1:14" x14ac:dyDescent="0.3">
      <c r="A997" t="s">
        <v>1055</v>
      </c>
      <c r="B997" s="1">
        <v>45614</v>
      </c>
      <c r="C997" s="1" t="str">
        <f t="shared" si="30"/>
        <v>November</v>
      </c>
      <c r="D997" t="s">
        <v>38</v>
      </c>
      <c r="E997" t="s">
        <v>42</v>
      </c>
      <c r="F997" t="s">
        <v>15</v>
      </c>
      <c r="G997">
        <v>2</v>
      </c>
      <c r="H997">
        <v>4678.59</v>
      </c>
      <c r="I997" s="3">
        <v>0.15</v>
      </c>
      <c r="J997" t="s">
        <v>16</v>
      </c>
      <c r="K997" t="s">
        <v>49</v>
      </c>
      <c r="L997" t="s">
        <v>33</v>
      </c>
      <c r="M997">
        <v>7953.6</v>
      </c>
      <c r="N997" t="str">
        <f t="shared" si="31"/>
        <v>Low</v>
      </c>
    </row>
    <row r="998" spans="1:14" x14ac:dyDescent="0.3">
      <c r="A998" t="s">
        <v>1056</v>
      </c>
      <c r="B998" s="1">
        <v>45393</v>
      </c>
      <c r="C998" s="1" t="str">
        <f t="shared" si="30"/>
        <v>April</v>
      </c>
      <c r="D998" t="s">
        <v>20</v>
      </c>
      <c r="E998" t="s">
        <v>21</v>
      </c>
      <c r="F998" t="s">
        <v>15</v>
      </c>
      <c r="G998">
        <v>1</v>
      </c>
      <c r="H998">
        <v>6966.19</v>
      </c>
      <c r="I998" s="3">
        <v>0.15</v>
      </c>
      <c r="J998" t="s">
        <v>16</v>
      </c>
      <c r="K998" t="s">
        <v>49</v>
      </c>
      <c r="L998" t="s">
        <v>33</v>
      </c>
      <c r="M998">
        <v>5921.26</v>
      </c>
      <c r="N998" t="str">
        <f t="shared" si="31"/>
        <v>Low</v>
      </c>
    </row>
    <row r="999" spans="1:14" x14ac:dyDescent="0.3">
      <c r="A999" t="s">
        <v>1057</v>
      </c>
      <c r="B999" s="1">
        <v>45377</v>
      </c>
      <c r="C999" s="1" t="str">
        <f t="shared" si="30"/>
        <v>March</v>
      </c>
      <c r="D999" t="s">
        <v>20</v>
      </c>
      <c r="E999" t="s">
        <v>21</v>
      </c>
      <c r="F999" t="s">
        <v>15</v>
      </c>
      <c r="G999">
        <v>4</v>
      </c>
      <c r="H999">
        <v>3776.96</v>
      </c>
      <c r="I999" s="3">
        <v>0</v>
      </c>
      <c r="J999" t="s">
        <v>16</v>
      </c>
      <c r="K999" t="s">
        <v>23</v>
      </c>
      <c r="L999" t="s">
        <v>18</v>
      </c>
      <c r="M999">
        <v>15107.84</v>
      </c>
      <c r="N999" t="str">
        <f t="shared" si="31"/>
        <v>Medium</v>
      </c>
    </row>
    <row r="1000" spans="1:14" x14ac:dyDescent="0.3">
      <c r="A1000" t="s">
        <v>1058</v>
      </c>
      <c r="B1000" s="1">
        <v>45319</v>
      </c>
      <c r="C1000" s="1" t="str">
        <f t="shared" si="30"/>
        <v>January</v>
      </c>
      <c r="D1000" t="s">
        <v>25</v>
      </c>
      <c r="E1000" t="s">
        <v>46</v>
      </c>
      <c r="F1000" t="s">
        <v>47</v>
      </c>
      <c r="G1000">
        <v>4</v>
      </c>
      <c r="H1000">
        <v>1467.63</v>
      </c>
      <c r="I1000" s="3">
        <v>0.05</v>
      </c>
      <c r="J1000" t="s">
        <v>55</v>
      </c>
      <c r="K1000" t="s">
        <v>49</v>
      </c>
      <c r="L1000" t="s">
        <v>33</v>
      </c>
      <c r="M1000">
        <v>5576.99</v>
      </c>
      <c r="N1000" t="str">
        <f t="shared" si="31"/>
        <v>Low</v>
      </c>
    </row>
    <row r="1001" spans="1:14" x14ac:dyDescent="0.3">
      <c r="A1001" t="s">
        <v>1059</v>
      </c>
      <c r="B1001" s="1">
        <v>45528</v>
      </c>
      <c r="C1001" s="1" t="str">
        <f t="shared" si="30"/>
        <v>August</v>
      </c>
      <c r="D1001" t="s">
        <v>38</v>
      </c>
      <c r="E1001" t="s">
        <v>51</v>
      </c>
      <c r="F1001" t="s">
        <v>27</v>
      </c>
      <c r="G1001">
        <v>3</v>
      </c>
      <c r="H1001">
        <v>577.57000000000005</v>
      </c>
      <c r="I1001" s="3">
        <v>0.2</v>
      </c>
      <c r="J1001" t="s">
        <v>22</v>
      </c>
      <c r="K1001" t="s">
        <v>29</v>
      </c>
      <c r="L1001" t="s">
        <v>33</v>
      </c>
      <c r="M1001">
        <v>1386.17</v>
      </c>
      <c r="N1001" t="str">
        <f t="shared" si="31"/>
        <v>Low</v>
      </c>
    </row>
    <row r="1002" spans="1:14" x14ac:dyDescent="0.3">
      <c r="A1002" t="s">
        <v>1060</v>
      </c>
      <c r="B1002" s="1">
        <v>45344</v>
      </c>
      <c r="C1002" s="1" t="str">
        <f t="shared" si="30"/>
        <v>February</v>
      </c>
      <c r="D1002" t="s">
        <v>20</v>
      </c>
      <c r="E1002" t="s">
        <v>21</v>
      </c>
      <c r="F1002" t="s">
        <v>47</v>
      </c>
      <c r="G1002">
        <v>2</v>
      </c>
      <c r="H1002">
        <v>5760.87</v>
      </c>
      <c r="I1002" s="3">
        <v>0</v>
      </c>
      <c r="J1002" t="s">
        <v>28</v>
      </c>
      <c r="K1002" t="s">
        <v>29</v>
      </c>
      <c r="L1002" t="s">
        <v>33</v>
      </c>
      <c r="M1002">
        <v>11521.74</v>
      </c>
      <c r="N1002" t="str">
        <f t="shared" si="31"/>
        <v>Medium</v>
      </c>
    </row>
    <row r="1003" spans="1:14" x14ac:dyDescent="0.3">
      <c r="A1003" t="s">
        <v>1061</v>
      </c>
      <c r="B1003" s="1">
        <v>45539</v>
      </c>
      <c r="C1003" s="1" t="str">
        <f t="shared" si="30"/>
        <v>September</v>
      </c>
      <c r="D1003" t="s">
        <v>13</v>
      </c>
      <c r="E1003" t="s">
        <v>14</v>
      </c>
      <c r="F1003" t="s">
        <v>47</v>
      </c>
      <c r="G1003">
        <v>2</v>
      </c>
      <c r="H1003">
        <v>1543.41</v>
      </c>
      <c r="I1003" s="3">
        <v>0.1</v>
      </c>
      <c r="J1003" t="s">
        <v>28</v>
      </c>
      <c r="K1003" t="s">
        <v>49</v>
      </c>
      <c r="L1003" t="s">
        <v>33</v>
      </c>
      <c r="M1003">
        <v>2778.14</v>
      </c>
      <c r="N1003" t="str">
        <f t="shared" si="31"/>
        <v>Low</v>
      </c>
    </row>
    <row r="1004" spans="1:14" x14ac:dyDescent="0.3">
      <c r="A1004" t="s">
        <v>1062</v>
      </c>
      <c r="B1004" s="1">
        <v>45370</v>
      </c>
      <c r="C1004" s="1" t="str">
        <f t="shared" si="30"/>
        <v>March</v>
      </c>
      <c r="D1004" t="s">
        <v>13</v>
      </c>
      <c r="E1004" t="s">
        <v>74</v>
      </c>
      <c r="F1004" t="s">
        <v>47</v>
      </c>
      <c r="G1004">
        <v>3</v>
      </c>
      <c r="H1004">
        <v>6528.12</v>
      </c>
      <c r="I1004" s="3">
        <v>0</v>
      </c>
      <c r="J1004" t="s">
        <v>16</v>
      </c>
      <c r="K1004" t="s">
        <v>40</v>
      </c>
      <c r="L1004" t="s">
        <v>33</v>
      </c>
      <c r="M1004">
        <v>19584.36</v>
      </c>
      <c r="N1004" t="str">
        <f t="shared" si="31"/>
        <v>Medium</v>
      </c>
    </row>
    <row r="1005" spans="1:14" x14ac:dyDescent="0.3">
      <c r="A1005" t="s">
        <v>1063</v>
      </c>
      <c r="B1005" s="1">
        <v>45369</v>
      </c>
      <c r="C1005" s="1" t="str">
        <f t="shared" si="30"/>
        <v>March</v>
      </c>
      <c r="D1005" t="s">
        <v>20</v>
      </c>
      <c r="E1005" t="s">
        <v>59</v>
      </c>
      <c r="F1005" t="s">
        <v>44</v>
      </c>
      <c r="G1005">
        <v>3</v>
      </c>
      <c r="H1005">
        <v>3997.75</v>
      </c>
      <c r="I1005" s="3">
        <v>0.1</v>
      </c>
      <c r="J1005" t="s">
        <v>16</v>
      </c>
      <c r="K1005" t="s">
        <v>29</v>
      </c>
      <c r="L1005" t="s">
        <v>33</v>
      </c>
      <c r="M1005">
        <v>10793.93</v>
      </c>
      <c r="N1005" t="str">
        <f t="shared" si="31"/>
        <v>Medium</v>
      </c>
    </row>
    <row r="1006" spans="1:14" x14ac:dyDescent="0.3">
      <c r="A1006" t="s">
        <v>1064</v>
      </c>
      <c r="B1006" s="1">
        <v>45311</v>
      </c>
      <c r="C1006" s="1" t="str">
        <f t="shared" si="30"/>
        <v>January</v>
      </c>
      <c r="D1006" t="s">
        <v>25</v>
      </c>
      <c r="E1006" t="s">
        <v>87</v>
      </c>
      <c r="F1006" t="s">
        <v>53</v>
      </c>
      <c r="G1006">
        <v>5</v>
      </c>
      <c r="H1006">
        <v>3488.18</v>
      </c>
      <c r="I1006" s="3">
        <v>0.1</v>
      </c>
      <c r="J1006" t="s">
        <v>55</v>
      </c>
      <c r="K1006" t="s">
        <v>40</v>
      </c>
      <c r="L1006" t="s">
        <v>33</v>
      </c>
      <c r="M1006">
        <v>15696.81</v>
      </c>
      <c r="N1006" t="str">
        <f t="shared" si="31"/>
        <v>Medium</v>
      </c>
    </row>
    <row r="1007" spans="1:14" x14ac:dyDescent="0.3">
      <c r="A1007" t="s">
        <v>1065</v>
      </c>
      <c r="B1007" s="1">
        <v>45514</v>
      </c>
      <c r="C1007" s="1" t="str">
        <f t="shared" si="30"/>
        <v>August</v>
      </c>
      <c r="D1007" t="s">
        <v>13</v>
      </c>
      <c r="E1007" t="s">
        <v>70</v>
      </c>
      <c r="F1007" t="s">
        <v>27</v>
      </c>
      <c r="G1007">
        <v>6</v>
      </c>
      <c r="H1007">
        <v>301.77999999999997</v>
      </c>
      <c r="I1007" s="3">
        <v>0.1</v>
      </c>
      <c r="J1007" t="s">
        <v>22</v>
      </c>
      <c r="K1007" t="s">
        <v>49</v>
      </c>
      <c r="L1007" t="s">
        <v>33</v>
      </c>
      <c r="M1007">
        <v>1629.61</v>
      </c>
      <c r="N1007" t="str">
        <f t="shared" si="31"/>
        <v>Low</v>
      </c>
    </row>
    <row r="1008" spans="1:14" x14ac:dyDescent="0.3">
      <c r="A1008" t="s">
        <v>1066</v>
      </c>
      <c r="B1008" s="1">
        <v>45532</v>
      </c>
      <c r="C1008" s="1" t="str">
        <f t="shared" si="30"/>
        <v>August</v>
      </c>
      <c r="D1008" t="s">
        <v>25</v>
      </c>
      <c r="E1008" t="s">
        <v>26</v>
      </c>
      <c r="F1008" t="s">
        <v>80</v>
      </c>
      <c r="G1008">
        <v>3</v>
      </c>
      <c r="H1008">
        <v>3571.7</v>
      </c>
      <c r="I1008" s="3">
        <v>0.1</v>
      </c>
      <c r="J1008" t="s">
        <v>16</v>
      </c>
      <c r="K1008" t="s">
        <v>49</v>
      </c>
      <c r="L1008" t="s">
        <v>18</v>
      </c>
      <c r="M1008">
        <v>9643.59</v>
      </c>
      <c r="N1008" t="str">
        <f t="shared" si="31"/>
        <v>Low</v>
      </c>
    </row>
    <row r="1009" spans="1:14" x14ac:dyDescent="0.3">
      <c r="A1009" t="s">
        <v>1067</v>
      </c>
      <c r="B1009" s="1">
        <v>45357</v>
      </c>
      <c r="C1009" s="1" t="str">
        <f t="shared" si="30"/>
        <v>March</v>
      </c>
      <c r="D1009" t="s">
        <v>20</v>
      </c>
      <c r="E1009" t="s">
        <v>57</v>
      </c>
      <c r="F1009" t="s">
        <v>27</v>
      </c>
      <c r="G1009">
        <v>5</v>
      </c>
      <c r="H1009">
        <v>2163.9699999999998</v>
      </c>
      <c r="I1009" s="3">
        <v>0.1</v>
      </c>
      <c r="J1009" t="s">
        <v>55</v>
      </c>
      <c r="K1009" t="s">
        <v>29</v>
      </c>
      <c r="L1009" t="s">
        <v>18</v>
      </c>
      <c r="M1009">
        <v>9737.86</v>
      </c>
      <c r="N1009" t="str">
        <f t="shared" si="31"/>
        <v>Low</v>
      </c>
    </row>
    <row r="1010" spans="1:14" x14ac:dyDescent="0.3">
      <c r="A1010" t="s">
        <v>1068</v>
      </c>
      <c r="B1010" s="1">
        <v>45308</v>
      </c>
      <c r="C1010" s="1" t="str">
        <f t="shared" si="30"/>
        <v>January</v>
      </c>
      <c r="D1010" t="s">
        <v>13</v>
      </c>
      <c r="E1010" t="s">
        <v>74</v>
      </c>
      <c r="F1010" t="s">
        <v>15</v>
      </c>
      <c r="G1010">
        <v>4</v>
      </c>
      <c r="H1010">
        <v>4703.79</v>
      </c>
      <c r="I1010" s="3">
        <v>0.1</v>
      </c>
      <c r="J1010" t="s">
        <v>22</v>
      </c>
      <c r="K1010" t="s">
        <v>49</v>
      </c>
      <c r="L1010" t="s">
        <v>33</v>
      </c>
      <c r="M1010">
        <v>16933.64</v>
      </c>
      <c r="N1010" t="str">
        <f t="shared" si="31"/>
        <v>Medium</v>
      </c>
    </row>
    <row r="1011" spans="1:14" x14ac:dyDescent="0.3">
      <c r="A1011" t="s">
        <v>1069</v>
      </c>
      <c r="B1011" s="1">
        <v>45578</v>
      </c>
      <c r="C1011" s="1" t="str">
        <f t="shared" si="30"/>
        <v>October</v>
      </c>
      <c r="D1011" t="s">
        <v>20</v>
      </c>
      <c r="E1011" t="s">
        <v>59</v>
      </c>
      <c r="F1011" t="s">
        <v>53</v>
      </c>
      <c r="G1011">
        <v>6</v>
      </c>
      <c r="H1011">
        <v>5380.66</v>
      </c>
      <c r="I1011" s="3">
        <v>0.25</v>
      </c>
      <c r="J1011" t="s">
        <v>22</v>
      </c>
      <c r="K1011" t="s">
        <v>49</v>
      </c>
      <c r="L1011" t="s">
        <v>33</v>
      </c>
      <c r="M1011">
        <v>24212.97</v>
      </c>
      <c r="N1011" t="str">
        <f t="shared" si="31"/>
        <v>High</v>
      </c>
    </row>
    <row r="1012" spans="1:14" x14ac:dyDescent="0.3">
      <c r="A1012" t="s">
        <v>1070</v>
      </c>
      <c r="B1012" s="1">
        <v>45627</v>
      </c>
      <c r="C1012" s="1" t="str">
        <f t="shared" si="30"/>
        <v>December</v>
      </c>
      <c r="D1012" t="s">
        <v>25</v>
      </c>
      <c r="E1012" t="s">
        <v>26</v>
      </c>
      <c r="F1012" t="s">
        <v>44</v>
      </c>
      <c r="G1012">
        <v>1</v>
      </c>
      <c r="H1012">
        <v>6609.63</v>
      </c>
      <c r="I1012" s="3">
        <v>0.25</v>
      </c>
      <c r="J1012" t="s">
        <v>16</v>
      </c>
      <c r="K1012" t="s">
        <v>49</v>
      </c>
      <c r="L1012" t="s">
        <v>18</v>
      </c>
      <c r="M1012">
        <v>4957.22</v>
      </c>
      <c r="N1012" t="str">
        <f t="shared" si="31"/>
        <v>Low</v>
      </c>
    </row>
    <row r="1013" spans="1:14" x14ac:dyDescent="0.3">
      <c r="A1013" t="s">
        <v>1071</v>
      </c>
      <c r="B1013" s="1">
        <v>45394</v>
      </c>
      <c r="C1013" s="1" t="str">
        <f t="shared" si="30"/>
        <v>April</v>
      </c>
      <c r="D1013" t="s">
        <v>35</v>
      </c>
      <c r="E1013" t="s">
        <v>68</v>
      </c>
      <c r="F1013" t="s">
        <v>53</v>
      </c>
      <c r="G1013">
        <v>2</v>
      </c>
      <c r="H1013">
        <v>6399.1</v>
      </c>
      <c r="I1013" s="3">
        <v>0</v>
      </c>
      <c r="J1013" t="s">
        <v>16</v>
      </c>
      <c r="K1013" t="s">
        <v>49</v>
      </c>
      <c r="L1013" t="s">
        <v>33</v>
      </c>
      <c r="M1013">
        <v>12798.2</v>
      </c>
      <c r="N1013" t="str">
        <f t="shared" si="31"/>
        <v>Medium</v>
      </c>
    </row>
    <row r="1014" spans="1:14" x14ac:dyDescent="0.3">
      <c r="A1014" t="s">
        <v>1072</v>
      </c>
      <c r="B1014" s="1">
        <v>45655</v>
      </c>
      <c r="C1014" s="1" t="str">
        <f t="shared" si="30"/>
        <v>December</v>
      </c>
      <c r="D1014" t="s">
        <v>35</v>
      </c>
      <c r="E1014" t="s">
        <v>68</v>
      </c>
      <c r="F1014" t="s">
        <v>32</v>
      </c>
      <c r="G1014">
        <v>5</v>
      </c>
      <c r="H1014">
        <v>2444.89</v>
      </c>
      <c r="I1014" s="3">
        <v>0.25</v>
      </c>
      <c r="J1014" t="s">
        <v>28</v>
      </c>
      <c r="K1014" t="s">
        <v>49</v>
      </c>
      <c r="L1014" t="s">
        <v>18</v>
      </c>
      <c r="M1014">
        <v>9168.34</v>
      </c>
      <c r="N1014" t="str">
        <f t="shared" si="31"/>
        <v>Low</v>
      </c>
    </row>
    <row r="1015" spans="1:14" x14ac:dyDescent="0.3">
      <c r="A1015" t="s">
        <v>1073</v>
      </c>
      <c r="B1015" s="1">
        <v>45513</v>
      </c>
      <c r="C1015" s="1" t="str">
        <f t="shared" si="30"/>
        <v>August</v>
      </c>
      <c r="D1015" t="s">
        <v>25</v>
      </c>
      <c r="E1015" t="s">
        <v>87</v>
      </c>
      <c r="F1015" t="s">
        <v>1160</v>
      </c>
      <c r="G1015">
        <v>3</v>
      </c>
      <c r="H1015">
        <v>5795.82</v>
      </c>
      <c r="I1015" s="3">
        <v>0.15</v>
      </c>
      <c r="J1015" t="s">
        <v>16</v>
      </c>
      <c r="K1015" t="s">
        <v>49</v>
      </c>
      <c r="L1015" t="s">
        <v>33</v>
      </c>
      <c r="M1015">
        <v>14779.34</v>
      </c>
      <c r="N1015" t="str">
        <f t="shared" si="31"/>
        <v>Medium</v>
      </c>
    </row>
    <row r="1016" spans="1:14" x14ac:dyDescent="0.3">
      <c r="A1016" t="s">
        <v>1074</v>
      </c>
      <c r="B1016" s="1">
        <v>45629</v>
      </c>
      <c r="C1016" s="1" t="str">
        <f t="shared" si="30"/>
        <v>December</v>
      </c>
      <c r="D1016" t="s">
        <v>20</v>
      </c>
      <c r="E1016" t="s">
        <v>21</v>
      </c>
      <c r="F1016" t="s">
        <v>1160</v>
      </c>
      <c r="G1016">
        <v>1</v>
      </c>
      <c r="H1016">
        <v>566.46</v>
      </c>
      <c r="I1016" s="3">
        <v>0</v>
      </c>
      <c r="J1016" t="s">
        <v>22</v>
      </c>
      <c r="K1016" t="s">
        <v>40</v>
      </c>
      <c r="L1016" t="s">
        <v>18</v>
      </c>
      <c r="M1016">
        <f>Orders[[#This Row],[Quantity]]*Orders[[#This Row],[UnitPrice]]-Orders[[#This Row],[Discount%]]</f>
        <v>566.46</v>
      </c>
      <c r="N1016" t="str">
        <f t="shared" si="31"/>
        <v>Low</v>
      </c>
    </row>
    <row r="1017" spans="1:14" x14ac:dyDescent="0.3">
      <c r="A1017" t="s">
        <v>1075</v>
      </c>
      <c r="B1017" s="1">
        <v>45332</v>
      </c>
      <c r="C1017" s="1" t="str">
        <f t="shared" si="30"/>
        <v>February</v>
      </c>
      <c r="D1017" t="s">
        <v>35</v>
      </c>
      <c r="E1017" t="s">
        <v>65</v>
      </c>
      <c r="F1017" t="s">
        <v>47</v>
      </c>
      <c r="G1017">
        <v>1</v>
      </c>
      <c r="H1017">
        <v>6639.11</v>
      </c>
      <c r="I1017" s="3">
        <v>0</v>
      </c>
      <c r="J1017" t="s">
        <v>16</v>
      </c>
      <c r="K1017" t="s">
        <v>29</v>
      </c>
      <c r="L1017" t="s">
        <v>33</v>
      </c>
      <c r="M1017">
        <v>6639.11</v>
      </c>
      <c r="N1017" t="str">
        <f t="shared" si="31"/>
        <v>Low</v>
      </c>
    </row>
    <row r="1018" spans="1:14" x14ac:dyDescent="0.3">
      <c r="A1018" t="s">
        <v>1076</v>
      </c>
      <c r="B1018" s="1">
        <v>45657</v>
      </c>
      <c r="C1018" s="1" t="str">
        <f t="shared" si="30"/>
        <v>December</v>
      </c>
      <c r="D1018" t="s">
        <v>35</v>
      </c>
      <c r="E1018" t="s">
        <v>63</v>
      </c>
      <c r="F1018" t="s">
        <v>1160</v>
      </c>
      <c r="G1018">
        <v>5</v>
      </c>
      <c r="H1018">
        <v>2242.09</v>
      </c>
      <c r="I1018" s="3">
        <v>0.25</v>
      </c>
      <c r="J1018" t="s">
        <v>16</v>
      </c>
      <c r="K1018" t="s">
        <v>17</v>
      </c>
      <c r="L1018" t="s">
        <v>33</v>
      </c>
      <c r="M1018">
        <v>8407.84</v>
      </c>
      <c r="N1018" t="str">
        <f t="shared" si="31"/>
        <v>Low</v>
      </c>
    </row>
    <row r="1019" spans="1:14" x14ac:dyDescent="0.3">
      <c r="A1019" t="s">
        <v>1077</v>
      </c>
      <c r="B1019" s="1">
        <v>45571</v>
      </c>
      <c r="C1019" s="1" t="str">
        <f t="shared" si="30"/>
        <v>October</v>
      </c>
      <c r="D1019" t="s">
        <v>38</v>
      </c>
      <c r="E1019" t="s">
        <v>42</v>
      </c>
      <c r="F1019" t="s">
        <v>27</v>
      </c>
      <c r="G1019">
        <v>5</v>
      </c>
      <c r="H1019">
        <v>2780.04</v>
      </c>
      <c r="I1019" s="3">
        <v>0.1</v>
      </c>
      <c r="J1019" t="s">
        <v>16</v>
      </c>
      <c r="K1019" t="s">
        <v>17</v>
      </c>
      <c r="L1019" t="s">
        <v>33</v>
      </c>
      <c r="M1019">
        <v>12510.18</v>
      </c>
      <c r="N1019" t="str">
        <f t="shared" si="31"/>
        <v>Medium</v>
      </c>
    </row>
    <row r="1020" spans="1:14" x14ac:dyDescent="0.3">
      <c r="A1020" t="s">
        <v>1078</v>
      </c>
      <c r="B1020" s="1">
        <v>45653</v>
      </c>
      <c r="C1020" s="1" t="str">
        <f t="shared" si="30"/>
        <v>December</v>
      </c>
      <c r="D1020" t="s">
        <v>38</v>
      </c>
      <c r="E1020" t="s">
        <v>164</v>
      </c>
      <c r="F1020" t="s">
        <v>47</v>
      </c>
      <c r="G1020">
        <v>1</v>
      </c>
      <c r="H1020">
        <v>5513.97</v>
      </c>
      <c r="I1020" s="3">
        <v>0</v>
      </c>
      <c r="J1020" t="s">
        <v>16</v>
      </c>
      <c r="K1020" t="s">
        <v>29</v>
      </c>
      <c r="L1020" t="s">
        <v>18</v>
      </c>
      <c r="M1020">
        <v>5513.97</v>
      </c>
      <c r="N1020" t="str">
        <f t="shared" si="31"/>
        <v>Low</v>
      </c>
    </row>
    <row r="1021" spans="1:14" x14ac:dyDescent="0.3">
      <c r="A1021" t="s">
        <v>1079</v>
      </c>
      <c r="B1021" s="1">
        <v>45387</v>
      </c>
      <c r="C1021" s="1" t="str">
        <f t="shared" si="30"/>
        <v>April</v>
      </c>
      <c r="D1021" t="s">
        <v>35</v>
      </c>
      <c r="E1021" t="s">
        <v>63</v>
      </c>
      <c r="F1021" t="s">
        <v>1160</v>
      </c>
      <c r="G1021">
        <v>4</v>
      </c>
      <c r="H1021">
        <v>4092.66</v>
      </c>
      <c r="I1021" s="3">
        <v>0.1</v>
      </c>
      <c r="J1021" t="s">
        <v>28</v>
      </c>
      <c r="K1021" t="s">
        <v>40</v>
      </c>
      <c r="L1021" t="s">
        <v>33</v>
      </c>
      <c r="M1021">
        <v>14733.58</v>
      </c>
      <c r="N1021" t="str">
        <f t="shared" si="31"/>
        <v>Medium</v>
      </c>
    </row>
    <row r="1022" spans="1:14" x14ac:dyDescent="0.3">
      <c r="A1022" t="s">
        <v>1080</v>
      </c>
      <c r="B1022" s="1">
        <v>45588</v>
      </c>
      <c r="C1022" s="1" t="str">
        <f t="shared" si="30"/>
        <v>October</v>
      </c>
      <c r="D1022" t="s">
        <v>35</v>
      </c>
      <c r="E1022" t="s">
        <v>68</v>
      </c>
      <c r="F1022" t="s">
        <v>15</v>
      </c>
      <c r="G1022">
        <v>4</v>
      </c>
      <c r="H1022">
        <v>7699.36</v>
      </c>
      <c r="I1022" s="3">
        <v>0.1</v>
      </c>
      <c r="J1022" t="s">
        <v>16</v>
      </c>
      <c r="K1022" t="s">
        <v>49</v>
      </c>
      <c r="L1022" t="s">
        <v>33</v>
      </c>
      <c r="M1022">
        <v>27717.7</v>
      </c>
      <c r="N1022" t="str">
        <f t="shared" si="31"/>
        <v>High</v>
      </c>
    </row>
    <row r="1023" spans="1:14" x14ac:dyDescent="0.3">
      <c r="A1023" t="s">
        <v>1081</v>
      </c>
      <c r="B1023" s="1">
        <v>45543</v>
      </c>
      <c r="C1023" s="1" t="str">
        <f t="shared" si="30"/>
        <v>September</v>
      </c>
      <c r="D1023" t="s">
        <v>13</v>
      </c>
      <c r="E1023" t="s">
        <v>76</v>
      </c>
      <c r="F1023" t="s">
        <v>1160</v>
      </c>
      <c r="G1023">
        <v>1</v>
      </c>
      <c r="H1023">
        <v>1729.5</v>
      </c>
      <c r="I1023" s="3">
        <v>0.25</v>
      </c>
      <c r="J1023" t="s">
        <v>16</v>
      </c>
      <c r="K1023" t="s">
        <v>49</v>
      </c>
      <c r="L1023" t="s">
        <v>33</v>
      </c>
      <c r="M1023">
        <v>1297.1199999999999</v>
      </c>
      <c r="N1023" t="str">
        <f t="shared" si="31"/>
        <v>Low</v>
      </c>
    </row>
    <row r="1024" spans="1:14" x14ac:dyDescent="0.3">
      <c r="A1024" t="s">
        <v>1082</v>
      </c>
      <c r="B1024" s="1">
        <v>45571</v>
      </c>
      <c r="C1024" s="1" t="str">
        <f t="shared" si="30"/>
        <v>October</v>
      </c>
      <c r="D1024" t="s">
        <v>35</v>
      </c>
      <c r="E1024" t="s">
        <v>97</v>
      </c>
      <c r="F1024" t="s">
        <v>80</v>
      </c>
      <c r="G1024">
        <v>1</v>
      </c>
      <c r="H1024">
        <v>7165.33</v>
      </c>
      <c r="I1024" s="3">
        <v>0.1</v>
      </c>
      <c r="J1024" t="s">
        <v>22</v>
      </c>
      <c r="K1024" t="s">
        <v>49</v>
      </c>
      <c r="L1024" t="s">
        <v>33</v>
      </c>
      <c r="M1024">
        <v>6448.8</v>
      </c>
      <c r="N1024" t="str">
        <f t="shared" si="31"/>
        <v>Low</v>
      </c>
    </row>
    <row r="1025" spans="1:14" x14ac:dyDescent="0.3">
      <c r="A1025" t="s">
        <v>1083</v>
      </c>
      <c r="B1025" s="1">
        <v>45384</v>
      </c>
      <c r="C1025" s="1" t="str">
        <f t="shared" si="30"/>
        <v>April</v>
      </c>
      <c r="D1025" t="s">
        <v>38</v>
      </c>
      <c r="E1025" t="s">
        <v>42</v>
      </c>
      <c r="F1025" t="s">
        <v>27</v>
      </c>
      <c r="G1025">
        <v>2</v>
      </c>
      <c r="H1025">
        <v>5071.8900000000003</v>
      </c>
      <c r="I1025" s="3">
        <v>0.25</v>
      </c>
      <c r="J1025" t="s">
        <v>16</v>
      </c>
      <c r="K1025" t="s">
        <v>17</v>
      </c>
      <c r="L1025" t="s">
        <v>33</v>
      </c>
      <c r="M1025">
        <v>7607.84</v>
      </c>
      <c r="N1025" t="str">
        <f t="shared" si="31"/>
        <v>Low</v>
      </c>
    </row>
    <row r="1026" spans="1:14" x14ac:dyDescent="0.3">
      <c r="A1026" t="s">
        <v>1084</v>
      </c>
      <c r="B1026" s="1">
        <v>45466</v>
      </c>
      <c r="C1026" s="1" t="str">
        <f t="shared" ref="C1026:C1089" si="32">TEXT(B1026,"mmmm")</f>
        <v>June</v>
      </c>
      <c r="D1026" t="s">
        <v>38</v>
      </c>
      <c r="E1026" t="s">
        <v>51</v>
      </c>
      <c r="F1026" t="s">
        <v>15</v>
      </c>
      <c r="G1026">
        <v>4</v>
      </c>
      <c r="H1026">
        <v>5042.3599999999997</v>
      </c>
      <c r="I1026" s="3">
        <v>0.1</v>
      </c>
      <c r="J1026" t="s">
        <v>55</v>
      </c>
      <c r="K1026" t="s">
        <v>23</v>
      </c>
      <c r="L1026" t="s">
        <v>33</v>
      </c>
      <c r="M1026">
        <v>18152.5</v>
      </c>
      <c r="N1026" t="str">
        <f t="shared" ref="N1026:N1089" si="33">IF(M1026&gt;20000,"High",IF(M1026&gt;10000,"Medium","Low"))</f>
        <v>Medium</v>
      </c>
    </row>
    <row r="1027" spans="1:14" x14ac:dyDescent="0.3">
      <c r="A1027" t="s">
        <v>1085</v>
      </c>
      <c r="B1027" s="1">
        <v>45540</v>
      </c>
      <c r="C1027" s="1" t="str">
        <f t="shared" si="32"/>
        <v>September</v>
      </c>
      <c r="D1027" t="s">
        <v>13</v>
      </c>
      <c r="E1027" t="s">
        <v>108</v>
      </c>
      <c r="F1027" t="s">
        <v>15</v>
      </c>
      <c r="G1027">
        <v>3</v>
      </c>
      <c r="H1027">
        <v>6958.05</v>
      </c>
      <c r="I1027" s="3">
        <v>0.05</v>
      </c>
      <c r="J1027" t="s">
        <v>16</v>
      </c>
      <c r="K1027" t="s">
        <v>17</v>
      </c>
      <c r="L1027" t="s">
        <v>33</v>
      </c>
      <c r="M1027">
        <v>19830.439999999999</v>
      </c>
      <c r="N1027" t="str">
        <f t="shared" si="33"/>
        <v>Medium</v>
      </c>
    </row>
    <row r="1028" spans="1:14" x14ac:dyDescent="0.3">
      <c r="A1028" t="s">
        <v>1086</v>
      </c>
      <c r="B1028" s="1">
        <v>45448</v>
      </c>
      <c r="C1028" s="1" t="str">
        <f t="shared" si="32"/>
        <v>June</v>
      </c>
      <c r="D1028" t="s">
        <v>38</v>
      </c>
      <c r="E1028" t="s">
        <v>39</v>
      </c>
      <c r="F1028" t="s">
        <v>1160</v>
      </c>
      <c r="G1028">
        <v>1</v>
      </c>
      <c r="H1028">
        <v>1229.2</v>
      </c>
      <c r="I1028" s="3">
        <v>0.2</v>
      </c>
      <c r="J1028" t="s">
        <v>28</v>
      </c>
      <c r="K1028" t="s">
        <v>17</v>
      </c>
      <c r="L1028" t="s">
        <v>18</v>
      </c>
      <c r="M1028">
        <v>983.36</v>
      </c>
      <c r="N1028" t="str">
        <f t="shared" si="33"/>
        <v>Low</v>
      </c>
    </row>
    <row r="1029" spans="1:14" x14ac:dyDescent="0.3">
      <c r="A1029" t="s">
        <v>1087</v>
      </c>
      <c r="B1029" s="1">
        <v>45429</v>
      </c>
      <c r="C1029" s="1" t="str">
        <f t="shared" si="32"/>
        <v>May</v>
      </c>
      <c r="D1029" t="s">
        <v>38</v>
      </c>
      <c r="E1029" t="s">
        <v>39</v>
      </c>
      <c r="F1029" t="s">
        <v>15</v>
      </c>
      <c r="G1029">
        <v>6</v>
      </c>
      <c r="H1029">
        <v>4354.05</v>
      </c>
      <c r="I1029" s="3">
        <v>0.1</v>
      </c>
      <c r="J1029" t="s">
        <v>22</v>
      </c>
      <c r="K1029" t="s">
        <v>40</v>
      </c>
      <c r="L1029" t="s">
        <v>33</v>
      </c>
      <c r="M1029">
        <v>23511.87</v>
      </c>
      <c r="N1029" t="str">
        <f t="shared" si="33"/>
        <v>High</v>
      </c>
    </row>
    <row r="1030" spans="1:14" x14ac:dyDescent="0.3">
      <c r="A1030" t="s">
        <v>1088</v>
      </c>
      <c r="B1030" s="1">
        <v>45646</v>
      </c>
      <c r="C1030" s="1" t="str">
        <f t="shared" si="32"/>
        <v>December</v>
      </c>
      <c r="D1030" t="s">
        <v>20</v>
      </c>
      <c r="E1030" t="s">
        <v>78</v>
      </c>
      <c r="F1030" t="s">
        <v>27</v>
      </c>
      <c r="G1030">
        <v>4</v>
      </c>
      <c r="H1030">
        <v>1191.95</v>
      </c>
      <c r="I1030" s="3">
        <v>0.15</v>
      </c>
      <c r="J1030" t="s">
        <v>16</v>
      </c>
      <c r="K1030" t="s">
        <v>23</v>
      </c>
      <c r="L1030" t="s">
        <v>33</v>
      </c>
      <c r="M1030">
        <v>4052.63</v>
      </c>
      <c r="N1030" t="str">
        <f t="shared" si="33"/>
        <v>Low</v>
      </c>
    </row>
    <row r="1031" spans="1:14" x14ac:dyDescent="0.3">
      <c r="A1031" t="s">
        <v>1089</v>
      </c>
      <c r="B1031" s="1">
        <v>45597</v>
      </c>
      <c r="C1031" s="1" t="str">
        <f t="shared" si="32"/>
        <v>November</v>
      </c>
      <c r="D1031" t="s">
        <v>25</v>
      </c>
      <c r="E1031" t="s">
        <v>94</v>
      </c>
      <c r="F1031" t="s">
        <v>47</v>
      </c>
      <c r="G1031">
        <v>3</v>
      </c>
      <c r="H1031">
        <v>3155.56</v>
      </c>
      <c r="I1031" s="3">
        <v>0.1</v>
      </c>
      <c r="J1031" t="s">
        <v>22</v>
      </c>
      <c r="K1031" t="s">
        <v>29</v>
      </c>
      <c r="L1031" t="s">
        <v>33</v>
      </c>
      <c r="M1031">
        <v>8520.01</v>
      </c>
      <c r="N1031" t="str">
        <f t="shared" si="33"/>
        <v>Low</v>
      </c>
    </row>
    <row r="1032" spans="1:14" x14ac:dyDescent="0.3">
      <c r="A1032" t="s">
        <v>1090</v>
      </c>
      <c r="B1032" s="1">
        <v>45493</v>
      </c>
      <c r="C1032" s="1" t="str">
        <f t="shared" si="32"/>
        <v>July</v>
      </c>
      <c r="D1032" t="s">
        <v>25</v>
      </c>
      <c r="E1032" t="s">
        <v>31</v>
      </c>
      <c r="F1032" t="s">
        <v>1160</v>
      </c>
      <c r="G1032">
        <v>1</v>
      </c>
      <c r="H1032">
        <v>7862.46</v>
      </c>
      <c r="I1032" s="3">
        <v>0.25</v>
      </c>
      <c r="J1032" t="s">
        <v>28</v>
      </c>
      <c r="K1032" t="s">
        <v>23</v>
      </c>
      <c r="L1032" t="s">
        <v>33</v>
      </c>
      <c r="M1032">
        <v>5896.85</v>
      </c>
      <c r="N1032" t="str">
        <f t="shared" si="33"/>
        <v>Low</v>
      </c>
    </row>
    <row r="1033" spans="1:14" x14ac:dyDescent="0.3">
      <c r="A1033" t="s">
        <v>1091</v>
      </c>
      <c r="B1033" s="1">
        <v>45445</v>
      </c>
      <c r="C1033" s="1" t="str">
        <f t="shared" si="32"/>
        <v>June</v>
      </c>
      <c r="D1033" t="s">
        <v>20</v>
      </c>
      <c r="E1033" t="s">
        <v>57</v>
      </c>
      <c r="F1033" t="s">
        <v>44</v>
      </c>
      <c r="G1033">
        <v>1</v>
      </c>
      <c r="H1033">
        <v>1375.18</v>
      </c>
      <c r="I1033" s="3">
        <v>0</v>
      </c>
      <c r="J1033" t="s">
        <v>16</v>
      </c>
      <c r="K1033" t="s">
        <v>23</v>
      </c>
      <c r="L1033" t="s">
        <v>33</v>
      </c>
      <c r="M1033">
        <v>1375.18</v>
      </c>
      <c r="N1033" t="str">
        <f t="shared" si="33"/>
        <v>Low</v>
      </c>
    </row>
    <row r="1034" spans="1:14" x14ac:dyDescent="0.3">
      <c r="A1034" t="s">
        <v>1092</v>
      </c>
      <c r="B1034" s="1">
        <v>45352</v>
      </c>
      <c r="C1034" s="1" t="str">
        <f t="shared" si="32"/>
        <v>March</v>
      </c>
      <c r="D1034" t="s">
        <v>38</v>
      </c>
      <c r="E1034" t="s">
        <v>51</v>
      </c>
      <c r="F1034" t="s">
        <v>47</v>
      </c>
      <c r="G1034">
        <v>4</v>
      </c>
      <c r="H1034">
        <v>1384.66</v>
      </c>
      <c r="I1034" s="3">
        <v>0</v>
      </c>
      <c r="J1034" t="s">
        <v>16</v>
      </c>
      <c r="K1034" t="s">
        <v>23</v>
      </c>
      <c r="L1034" t="s">
        <v>18</v>
      </c>
      <c r="M1034">
        <v>5538.64</v>
      </c>
      <c r="N1034" t="str">
        <f t="shared" si="33"/>
        <v>Low</v>
      </c>
    </row>
    <row r="1035" spans="1:14" x14ac:dyDescent="0.3">
      <c r="A1035" t="s">
        <v>1093</v>
      </c>
      <c r="B1035" s="1">
        <v>45456</v>
      </c>
      <c r="C1035" s="1" t="str">
        <f t="shared" si="32"/>
        <v>June</v>
      </c>
      <c r="D1035" t="s">
        <v>20</v>
      </c>
      <c r="E1035" t="s">
        <v>21</v>
      </c>
      <c r="F1035" t="s">
        <v>53</v>
      </c>
      <c r="G1035">
        <v>1</v>
      </c>
      <c r="H1035">
        <v>5415.1</v>
      </c>
      <c r="I1035" s="3">
        <v>0.1</v>
      </c>
      <c r="J1035" t="s">
        <v>16</v>
      </c>
      <c r="K1035" t="s">
        <v>49</v>
      </c>
      <c r="L1035" t="s">
        <v>33</v>
      </c>
      <c r="M1035">
        <v>4873.59</v>
      </c>
      <c r="N1035" t="str">
        <f t="shared" si="33"/>
        <v>Low</v>
      </c>
    </row>
    <row r="1036" spans="1:14" x14ac:dyDescent="0.3">
      <c r="A1036" t="s">
        <v>1094</v>
      </c>
      <c r="B1036" s="1">
        <v>45452</v>
      </c>
      <c r="C1036" s="1" t="str">
        <f t="shared" si="32"/>
        <v>June</v>
      </c>
      <c r="D1036" t="s">
        <v>35</v>
      </c>
      <c r="E1036" t="s">
        <v>68</v>
      </c>
      <c r="F1036" t="s">
        <v>47</v>
      </c>
      <c r="G1036">
        <v>4</v>
      </c>
      <c r="H1036">
        <v>7206.62</v>
      </c>
      <c r="I1036" s="3">
        <v>0.1</v>
      </c>
      <c r="J1036" t="s">
        <v>22</v>
      </c>
      <c r="K1036" t="s">
        <v>17</v>
      </c>
      <c r="L1036" t="s">
        <v>33</v>
      </c>
      <c r="M1036">
        <v>25943.83</v>
      </c>
      <c r="N1036" t="str">
        <f t="shared" si="33"/>
        <v>High</v>
      </c>
    </row>
    <row r="1037" spans="1:14" x14ac:dyDescent="0.3">
      <c r="A1037" t="s">
        <v>1095</v>
      </c>
      <c r="B1037" s="1">
        <v>45647</v>
      </c>
      <c r="C1037" s="1" t="str">
        <f t="shared" si="32"/>
        <v>December</v>
      </c>
      <c r="D1037" t="s">
        <v>25</v>
      </c>
      <c r="E1037" t="s">
        <v>31</v>
      </c>
      <c r="F1037" t="s">
        <v>27</v>
      </c>
      <c r="G1037">
        <v>2</v>
      </c>
      <c r="H1037">
        <v>3642.13</v>
      </c>
      <c r="I1037" s="3">
        <v>0.25</v>
      </c>
      <c r="J1037" t="s">
        <v>22</v>
      </c>
      <c r="K1037" t="s">
        <v>29</v>
      </c>
      <c r="L1037" t="s">
        <v>33</v>
      </c>
      <c r="M1037">
        <v>5463.19</v>
      </c>
      <c r="N1037" t="str">
        <f t="shared" si="33"/>
        <v>Low</v>
      </c>
    </row>
    <row r="1038" spans="1:14" x14ac:dyDescent="0.3">
      <c r="A1038" t="s">
        <v>1096</v>
      </c>
      <c r="B1038" s="1">
        <v>45298</v>
      </c>
      <c r="C1038" s="1" t="str">
        <f t="shared" si="32"/>
        <v>January</v>
      </c>
      <c r="D1038" t="s">
        <v>38</v>
      </c>
      <c r="E1038" t="s">
        <v>42</v>
      </c>
      <c r="F1038" t="s">
        <v>47</v>
      </c>
      <c r="G1038">
        <v>3</v>
      </c>
      <c r="H1038">
        <v>601.30999999999995</v>
      </c>
      <c r="I1038" s="3">
        <v>0.1</v>
      </c>
      <c r="J1038" t="s">
        <v>28</v>
      </c>
      <c r="K1038" t="s">
        <v>23</v>
      </c>
      <c r="L1038" t="s">
        <v>33</v>
      </c>
      <c r="M1038">
        <v>1623.54</v>
      </c>
      <c r="N1038" t="str">
        <f t="shared" si="33"/>
        <v>Low</v>
      </c>
    </row>
    <row r="1039" spans="1:14" x14ac:dyDescent="0.3">
      <c r="A1039" t="s">
        <v>1097</v>
      </c>
      <c r="B1039" s="1">
        <v>45391</v>
      </c>
      <c r="C1039" s="1" t="str">
        <f t="shared" si="32"/>
        <v>April</v>
      </c>
      <c r="D1039" t="s">
        <v>38</v>
      </c>
      <c r="E1039" t="s">
        <v>51</v>
      </c>
      <c r="F1039" t="s">
        <v>53</v>
      </c>
      <c r="G1039">
        <v>1</v>
      </c>
      <c r="H1039">
        <v>3620.72</v>
      </c>
      <c r="I1039" s="3">
        <v>0.15</v>
      </c>
      <c r="J1039" t="s">
        <v>28</v>
      </c>
      <c r="K1039" t="s">
        <v>17</v>
      </c>
      <c r="L1039" t="s">
        <v>33</v>
      </c>
      <c r="M1039">
        <v>3077.61</v>
      </c>
      <c r="N1039" t="str">
        <f t="shared" si="33"/>
        <v>Low</v>
      </c>
    </row>
    <row r="1040" spans="1:14" x14ac:dyDescent="0.3">
      <c r="A1040" t="s">
        <v>1098</v>
      </c>
      <c r="B1040" s="1">
        <v>45640</v>
      </c>
      <c r="C1040" s="1" t="str">
        <f t="shared" si="32"/>
        <v>December</v>
      </c>
      <c r="D1040" t="s">
        <v>25</v>
      </c>
      <c r="E1040" t="s">
        <v>87</v>
      </c>
      <c r="F1040" t="s">
        <v>44</v>
      </c>
      <c r="G1040">
        <v>4</v>
      </c>
      <c r="H1040">
        <v>2729.83</v>
      </c>
      <c r="I1040" s="3">
        <v>0.1</v>
      </c>
      <c r="J1040" t="s">
        <v>28</v>
      </c>
      <c r="K1040" t="s">
        <v>17</v>
      </c>
      <c r="L1040" t="s">
        <v>18</v>
      </c>
      <c r="M1040">
        <v>9827.39</v>
      </c>
      <c r="N1040" t="str">
        <f t="shared" si="33"/>
        <v>Low</v>
      </c>
    </row>
    <row r="1041" spans="1:14" x14ac:dyDescent="0.3">
      <c r="A1041" t="s">
        <v>1099</v>
      </c>
      <c r="B1041" s="1">
        <v>45443</v>
      </c>
      <c r="C1041" s="1" t="str">
        <f t="shared" si="32"/>
        <v>May</v>
      </c>
      <c r="D1041" t="s">
        <v>25</v>
      </c>
      <c r="E1041" t="s">
        <v>87</v>
      </c>
      <c r="F1041" t="s">
        <v>80</v>
      </c>
      <c r="G1041">
        <v>1</v>
      </c>
      <c r="H1041">
        <v>6042.73</v>
      </c>
      <c r="I1041" s="3">
        <v>0</v>
      </c>
      <c r="J1041" t="s">
        <v>28</v>
      </c>
      <c r="K1041" t="s">
        <v>23</v>
      </c>
      <c r="L1041" t="s">
        <v>33</v>
      </c>
      <c r="M1041">
        <v>6042.73</v>
      </c>
      <c r="N1041" t="str">
        <f t="shared" si="33"/>
        <v>Low</v>
      </c>
    </row>
    <row r="1042" spans="1:14" x14ac:dyDescent="0.3">
      <c r="A1042" t="s">
        <v>1100</v>
      </c>
      <c r="B1042" s="1">
        <v>45373</v>
      </c>
      <c r="C1042" s="1" t="str">
        <f t="shared" si="32"/>
        <v>March</v>
      </c>
      <c r="D1042" t="s">
        <v>25</v>
      </c>
      <c r="E1042" t="s">
        <v>26</v>
      </c>
      <c r="F1042" t="s">
        <v>1160</v>
      </c>
      <c r="G1042">
        <v>4</v>
      </c>
      <c r="H1042">
        <v>2149.64</v>
      </c>
      <c r="I1042" s="3">
        <v>0.2</v>
      </c>
      <c r="J1042" t="s">
        <v>16</v>
      </c>
      <c r="K1042" t="s">
        <v>23</v>
      </c>
      <c r="L1042" t="s">
        <v>33</v>
      </c>
      <c r="M1042">
        <v>6878.85</v>
      </c>
      <c r="N1042" t="str">
        <f t="shared" si="33"/>
        <v>Low</v>
      </c>
    </row>
    <row r="1043" spans="1:14" x14ac:dyDescent="0.3">
      <c r="A1043" t="s">
        <v>1101</v>
      </c>
      <c r="B1043" s="1">
        <v>45389</v>
      </c>
      <c r="C1043" s="1" t="str">
        <f t="shared" si="32"/>
        <v>April</v>
      </c>
      <c r="D1043" t="s">
        <v>38</v>
      </c>
      <c r="E1043" t="s">
        <v>100</v>
      </c>
      <c r="F1043" t="s">
        <v>80</v>
      </c>
      <c r="G1043">
        <v>4</v>
      </c>
      <c r="H1043">
        <v>7337.5</v>
      </c>
      <c r="I1043" s="3">
        <v>0</v>
      </c>
      <c r="J1043" t="s">
        <v>55</v>
      </c>
      <c r="K1043" t="s">
        <v>17</v>
      </c>
      <c r="L1043" t="s">
        <v>33</v>
      </c>
      <c r="M1043">
        <v>29350</v>
      </c>
      <c r="N1043" t="str">
        <f t="shared" si="33"/>
        <v>High</v>
      </c>
    </row>
    <row r="1044" spans="1:14" x14ac:dyDescent="0.3">
      <c r="A1044" t="s">
        <v>1102</v>
      </c>
      <c r="B1044" s="1">
        <v>45443</v>
      </c>
      <c r="C1044" s="1" t="str">
        <f t="shared" si="32"/>
        <v>May</v>
      </c>
      <c r="D1044" t="s">
        <v>20</v>
      </c>
      <c r="E1044" t="s">
        <v>59</v>
      </c>
      <c r="F1044" t="s">
        <v>32</v>
      </c>
      <c r="G1044">
        <v>4</v>
      </c>
      <c r="H1044">
        <v>2047.72</v>
      </c>
      <c r="I1044" s="3">
        <v>0</v>
      </c>
      <c r="J1044" t="s">
        <v>22</v>
      </c>
      <c r="K1044" t="s">
        <v>23</v>
      </c>
      <c r="L1044" t="s">
        <v>18</v>
      </c>
      <c r="M1044">
        <v>8190.88</v>
      </c>
      <c r="N1044" t="str">
        <f t="shared" si="33"/>
        <v>Low</v>
      </c>
    </row>
    <row r="1045" spans="1:14" x14ac:dyDescent="0.3">
      <c r="A1045" t="s">
        <v>1103</v>
      </c>
      <c r="B1045" s="1">
        <v>45617</v>
      </c>
      <c r="C1045" s="1" t="str">
        <f t="shared" si="32"/>
        <v>November</v>
      </c>
      <c r="D1045" t="s">
        <v>35</v>
      </c>
      <c r="E1045" t="s">
        <v>63</v>
      </c>
      <c r="F1045" t="s">
        <v>44</v>
      </c>
      <c r="G1045">
        <v>2</v>
      </c>
      <c r="H1045">
        <v>2441.16</v>
      </c>
      <c r="I1045" s="3">
        <v>0.15</v>
      </c>
      <c r="J1045" t="s">
        <v>22</v>
      </c>
      <c r="K1045" t="s">
        <v>29</v>
      </c>
      <c r="L1045" t="s">
        <v>18</v>
      </c>
      <c r="M1045">
        <v>4149.97</v>
      </c>
      <c r="N1045" t="str">
        <f t="shared" si="33"/>
        <v>Low</v>
      </c>
    </row>
    <row r="1046" spans="1:14" x14ac:dyDescent="0.3">
      <c r="A1046" t="s">
        <v>1104</v>
      </c>
      <c r="B1046" s="1">
        <v>45581</v>
      </c>
      <c r="C1046" s="1" t="str">
        <f t="shared" si="32"/>
        <v>October</v>
      </c>
      <c r="D1046" t="s">
        <v>13</v>
      </c>
      <c r="E1046" t="s">
        <v>14</v>
      </c>
      <c r="F1046" t="s">
        <v>15</v>
      </c>
      <c r="G1046">
        <v>6</v>
      </c>
      <c r="H1046">
        <v>1075.74</v>
      </c>
      <c r="I1046" s="3">
        <v>0</v>
      </c>
      <c r="J1046" t="s">
        <v>16</v>
      </c>
      <c r="K1046" t="s">
        <v>29</v>
      </c>
      <c r="L1046" t="s">
        <v>33</v>
      </c>
      <c r="M1046">
        <v>6454.44</v>
      </c>
      <c r="N1046" t="str">
        <f t="shared" si="33"/>
        <v>Low</v>
      </c>
    </row>
    <row r="1047" spans="1:14" x14ac:dyDescent="0.3">
      <c r="A1047" t="s">
        <v>1105</v>
      </c>
      <c r="B1047" s="1">
        <v>45645</v>
      </c>
      <c r="C1047" s="1" t="str">
        <f t="shared" si="32"/>
        <v>December</v>
      </c>
      <c r="D1047" t="s">
        <v>25</v>
      </c>
      <c r="E1047" t="s">
        <v>94</v>
      </c>
      <c r="F1047" t="s">
        <v>53</v>
      </c>
      <c r="G1047">
        <v>1</v>
      </c>
      <c r="H1047">
        <v>577.75</v>
      </c>
      <c r="I1047" s="3">
        <v>0.1</v>
      </c>
      <c r="J1047" t="s">
        <v>16</v>
      </c>
      <c r="K1047" t="s">
        <v>17</v>
      </c>
      <c r="L1047" t="s">
        <v>33</v>
      </c>
      <c r="M1047">
        <v>519.98</v>
      </c>
      <c r="N1047" t="str">
        <f t="shared" si="33"/>
        <v>Low</v>
      </c>
    </row>
    <row r="1048" spans="1:14" x14ac:dyDescent="0.3">
      <c r="A1048" t="s">
        <v>1106</v>
      </c>
      <c r="B1048" s="1">
        <v>45506</v>
      </c>
      <c r="C1048" s="1" t="str">
        <f t="shared" si="32"/>
        <v>August</v>
      </c>
      <c r="D1048" t="s">
        <v>35</v>
      </c>
      <c r="E1048" t="s">
        <v>68</v>
      </c>
      <c r="F1048" t="s">
        <v>32</v>
      </c>
      <c r="G1048">
        <v>3</v>
      </c>
      <c r="H1048">
        <v>4449.0200000000004</v>
      </c>
      <c r="I1048" s="3">
        <v>0.1</v>
      </c>
      <c r="J1048" t="s">
        <v>16</v>
      </c>
      <c r="K1048" t="s">
        <v>17</v>
      </c>
      <c r="L1048" t="s">
        <v>33</v>
      </c>
      <c r="M1048">
        <v>12012.35</v>
      </c>
      <c r="N1048" t="str">
        <f t="shared" si="33"/>
        <v>Medium</v>
      </c>
    </row>
    <row r="1049" spans="1:14" x14ac:dyDescent="0.3">
      <c r="A1049" t="s">
        <v>1107</v>
      </c>
      <c r="B1049" s="1">
        <v>45456</v>
      </c>
      <c r="C1049" s="1" t="str">
        <f t="shared" si="32"/>
        <v>June</v>
      </c>
      <c r="D1049" t="s">
        <v>13</v>
      </c>
      <c r="E1049" t="s">
        <v>74</v>
      </c>
      <c r="F1049" t="s">
        <v>27</v>
      </c>
      <c r="G1049">
        <v>3</v>
      </c>
      <c r="H1049">
        <v>5969.1</v>
      </c>
      <c r="I1049" s="3">
        <v>0</v>
      </c>
      <c r="J1049" t="s">
        <v>28</v>
      </c>
      <c r="K1049" t="s">
        <v>49</v>
      </c>
      <c r="L1049" t="s">
        <v>33</v>
      </c>
      <c r="M1049">
        <v>17907.3</v>
      </c>
      <c r="N1049" t="str">
        <f t="shared" si="33"/>
        <v>Medium</v>
      </c>
    </row>
    <row r="1050" spans="1:14" x14ac:dyDescent="0.3">
      <c r="A1050" t="s">
        <v>1108</v>
      </c>
      <c r="B1050" s="1">
        <v>45636</v>
      </c>
      <c r="C1050" s="1" t="str">
        <f t="shared" si="32"/>
        <v>December</v>
      </c>
      <c r="D1050" t="s">
        <v>20</v>
      </c>
      <c r="E1050" t="s">
        <v>21</v>
      </c>
      <c r="F1050" t="s">
        <v>44</v>
      </c>
      <c r="G1050">
        <v>5</v>
      </c>
      <c r="H1050">
        <v>3317.63</v>
      </c>
      <c r="I1050" s="3">
        <v>0.05</v>
      </c>
      <c r="J1050" t="s">
        <v>22</v>
      </c>
      <c r="K1050" t="s">
        <v>23</v>
      </c>
      <c r="L1050" t="s">
        <v>33</v>
      </c>
      <c r="M1050">
        <v>15758.74</v>
      </c>
      <c r="N1050" t="str">
        <f t="shared" si="33"/>
        <v>Medium</v>
      </c>
    </row>
    <row r="1051" spans="1:14" x14ac:dyDescent="0.3">
      <c r="A1051" t="s">
        <v>1109</v>
      </c>
      <c r="B1051" s="1">
        <v>45526</v>
      </c>
      <c r="C1051" s="1" t="str">
        <f t="shared" si="32"/>
        <v>August</v>
      </c>
      <c r="D1051" t="s">
        <v>35</v>
      </c>
      <c r="E1051" t="s">
        <v>63</v>
      </c>
      <c r="F1051" t="s">
        <v>32</v>
      </c>
      <c r="G1051">
        <v>4</v>
      </c>
      <c r="H1051">
        <v>4816.82</v>
      </c>
      <c r="I1051" s="3">
        <v>0.15</v>
      </c>
      <c r="J1051" t="s">
        <v>16</v>
      </c>
      <c r="K1051" t="s">
        <v>17</v>
      </c>
      <c r="L1051" t="s">
        <v>33</v>
      </c>
      <c r="M1051">
        <v>16377.19</v>
      </c>
      <c r="N1051" t="str">
        <f t="shared" si="33"/>
        <v>Medium</v>
      </c>
    </row>
    <row r="1052" spans="1:14" x14ac:dyDescent="0.3">
      <c r="A1052" t="s">
        <v>1110</v>
      </c>
      <c r="B1052" s="1">
        <v>45577</v>
      </c>
      <c r="C1052" s="1" t="str">
        <f t="shared" si="32"/>
        <v>October</v>
      </c>
      <c r="D1052" t="s">
        <v>20</v>
      </c>
      <c r="E1052" t="s">
        <v>61</v>
      </c>
      <c r="F1052" t="s">
        <v>27</v>
      </c>
      <c r="G1052">
        <v>4</v>
      </c>
      <c r="H1052">
        <v>5622.4</v>
      </c>
      <c r="I1052" s="3">
        <v>0</v>
      </c>
      <c r="J1052" t="s">
        <v>16</v>
      </c>
      <c r="K1052" t="s">
        <v>29</v>
      </c>
      <c r="L1052" t="s">
        <v>33</v>
      </c>
      <c r="M1052">
        <v>22489.599999999999</v>
      </c>
      <c r="N1052" t="str">
        <f t="shared" si="33"/>
        <v>High</v>
      </c>
    </row>
    <row r="1053" spans="1:14" x14ac:dyDescent="0.3">
      <c r="A1053" t="s">
        <v>1111</v>
      </c>
      <c r="B1053" s="1">
        <v>45598</v>
      </c>
      <c r="C1053" s="1" t="str">
        <f t="shared" si="32"/>
        <v>November</v>
      </c>
      <c r="D1053" t="s">
        <v>20</v>
      </c>
      <c r="E1053" t="s">
        <v>57</v>
      </c>
      <c r="F1053" t="s">
        <v>44</v>
      </c>
      <c r="G1053">
        <v>2</v>
      </c>
      <c r="H1053">
        <v>2320.3000000000002</v>
      </c>
      <c r="I1053" s="3">
        <v>0.15</v>
      </c>
      <c r="J1053" t="s">
        <v>16</v>
      </c>
      <c r="K1053" t="s">
        <v>49</v>
      </c>
      <c r="L1053" t="s">
        <v>18</v>
      </c>
      <c r="M1053">
        <f>Orders[[#This Row],[Quantity]]*Orders[[#This Row],[UnitPrice]]-Orders[[#This Row],[Discount%]]</f>
        <v>4640.4500000000007</v>
      </c>
      <c r="N1053" t="str">
        <f t="shared" si="33"/>
        <v>Low</v>
      </c>
    </row>
    <row r="1054" spans="1:14" x14ac:dyDescent="0.3">
      <c r="A1054" t="s">
        <v>1112</v>
      </c>
      <c r="B1054" s="1">
        <v>45410</v>
      </c>
      <c r="C1054" s="1" t="str">
        <f t="shared" si="32"/>
        <v>April</v>
      </c>
      <c r="D1054" t="s">
        <v>20</v>
      </c>
      <c r="E1054" t="s">
        <v>78</v>
      </c>
      <c r="F1054" t="s">
        <v>27</v>
      </c>
      <c r="G1054">
        <v>1</v>
      </c>
      <c r="H1054">
        <v>5684.12</v>
      </c>
      <c r="I1054" s="3">
        <v>0.25</v>
      </c>
      <c r="J1054" t="s">
        <v>55</v>
      </c>
      <c r="K1054" t="s">
        <v>40</v>
      </c>
      <c r="L1054" t="s">
        <v>33</v>
      </c>
      <c r="M1054">
        <v>4263.09</v>
      </c>
      <c r="N1054" t="str">
        <f t="shared" si="33"/>
        <v>Low</v>
      </c>
    </row>
    <row r="1055" spans="1:14" x14ac:dyDescent="0.3">
      <c r="A1055" t="s">
        <v>1113</v>
      </c>
      <c r="B1055" s="1">
        <v>45599</v>
      </c>
      <c r="C1055" s="1" t="str">
        <f t="shared" si="32"/>
        <v>November</v>
      </c>
      <c r="D1055" t="s">
        <v>13</v>
      </c>
      <c r="E1055" t="s">
        <v>14</v>
      </c>
      <c r="F1055" t="s">
        <v>80</v>
      </c>
      <c r="G1055">
        <v>2</v>
      </c>
      <c r="H1055">
        <v>3952.33</v>
      </c>
      <c r="I1055" s="3">
        <v>0.25</v>
      </c>
      <c r="J1055" t="s">
        <v>16</v>
      </c>
      <c r="K1055" t="s">
        <v>23</v>
      </c>
      <c r="L1055" t="s">
        <v>33</v>
      </c>
      <c r="M1055">
        <v>5928.49</v>
      </c>
      <c r="N1055" t="str">
        <f t="shared" si="33"/>
        <v>Low</v>
      </c>
    </row>
    <row r="1056" spans="1:14" x14ac:dyDescent="0.3">
      <c r="A1056" t="s">
        <v>1114</v>
      </c>
      <c r="B1056" s="1">
        <v>45589</v>
      </c>
      <c r="C1056" s="1" t="str">
        <f t="shared" si="32"/>
        <v>October</v>
      </c>
      <c r="D1056" t="s">
        <v>35</v>
      </c>
      <c r="E1056" t="s">
        <v>97</v>
      </c>
      <c r="F1056" t="s">
        <v>1160</v>
      </c>
      <c r="G1056">
        <v>6</v>
      </c>
      <c r="H1056">
        <v>1676.76</v>
      </c>
      <c r="I1056" s="3">
        <v>0.25</v>
      </c>
      <c r="J1056" t="s">
        <v>28</v>
      </c>
      <c r="K1056" t="s">
        <v>17</v>
      </c>
      <c r="L1056" t="s">
        <v>18</v>
      </c>
      <c r="M1056">
        <v>7545.42</v>
      </c>
      <c r="N1056" t="str">
        <f t="shared" si="33"/>
        <v>Low</v>
      </c>
    </row>
    <row r="1057" spans="1:14" x14ac:dyDescent="0.3">
      <c r="A1057" t="s">
        <v>1115</v>
      </c>
      <c r="B1057" s="1">
        <v>45445</v>
      </c>
      <c r="C1057" s="1" t="str">
        <f t="shared" si="32"/>
        <v>June</v>
      </c>
      <c r="D1057" t="s">
        <v>38</v>
      </c>
      <c r="E1057" t="s">
        <v>164</v>
      </c>
      <c r="F1057" t="s">
        <v>27</v>
      </c>
      <c r="G1057">
        <v>2</v>
      </c>
      <c r="H1057">
        <v>1366.58</v>
      </c>
      <c r="I1057" s="3">
        <v>0.05</v>
      </c>
      <c r="J1057" t="s">
        <v>28</v>
      </c>
      <c r="K1057" t="s">
        <v>49</v>
      </c>
      <c r="L1057" t="s">
        <v>33</v>
      </c>
      <c r="M1057">
        <v>2596.5</v>
      </c>
      <c r="N1057" t="str">
        <f t="shared" si="33"/>
        <v>Low</v>
      </c>
    </row>
    <row r="1058" spans="1:14" x14ac:dyDescent="0.3">
      <c r="A1058" t="s">
        <v>1116</v>
      </c>
      <c r="B1058" s="1">
        <v>45381</v>
      </c>
      <c r="C1058" s="1" t="str">
        <f t="shared" si="32"/>
        <v>March</v>
      </c>
      <c r="D1058" t="s">
        <v>38</v>
      </c>
      <c r="E1058" t="s">
        <v>42</v>
      </c>
      <c r="F1058" t="s">
        <v>47</v>
      </c>
      <c r="G1058">
        <v>3</v>
      </c>
      <c r="H1058">
        <v>3140.21</v>
      </c>
      <c r="I1058" s="3">
        <v>0.1</v>
      </c>
      <c r="J1058" t="s">
        <v>16</v>
      </c>
      <c r="K1058" t="s">
        <v>29</v>
      </c>
      <c r="L1058" t="s">
        <v>33</v>
      </c>
      <c r="M1058">
        <v>8478.57</v>
      </c>
      <c r="N1058" t="str">
        <f t="shared" si="33"/>
        <v>Low</v>
      </c>
    </row>
    <row r="1059" spans="1:14" x14ac:dyDescent="0.3">
      <c r="A1059" t="s">
        <v>1117</v>
      </c>
      <c r="B1059" s="1">
        <v>45371</v>
      </c>
      <c r="C1059" s="1" t="str">
        <f t="shared" si="32"/>
        <v>March</v>
      </c>
      <c r="D1059" t="s">
        <v>38</v>
      </c>
      <c r="E1059" t="s">
        <v>164</v>
      </c>
      <c r="F1059" t="s">
        <v>44</v>
      </c>
      <c r="G1059">
        <v>3</v>
      </c>
      <c r="H1059">
        <v>7731.78</v>
      </c>
      <c r="I1059" s="3">
        <v>0</v>
      </c>
      <c r="J1059" t="s">
        <v>22</v>
      </c>
      <c r="K1059" t="s">
        <v>49</v>
      </c>
      <c r="L1059" t="s">
        <v>18</v>
      </c>
      <c r="M1059">
        <v>23195.34</v>
      </c>
      <c r="N1059" t="str">
        <f t="shared" si="33"/>
        <v>High</v>
      </c>
    </row>
    <row r="1060" spans="1:14" x14ac:dyDescent="0.3">
      <c r="A1060" t="s">
        <v>1118</v>
      </c>
      <c r="B1060" s="1">
        <v>45343</v>
      </c>
      <c r="C1060" s="1" t="str">
        <f t="shared" si="32"/>
        <v>February</v>
      </c>
      <c r="D1060" t="s">
        <v>20</v>
      </c>
      <c r="E1060" t="s">
        <v>78</v>
      </c>
      <c r="F1060" t="s">
        <v>53</v>
      </c>
      <c r="G1060">
        <v>2</v>
      </c>
      <c r="H1060">
        <v>4780.33</v>
      </c>
      <c r="I1060" s="3">
        <v>0.25</v>
      </c>
      <c r="J1060" t="s">
        <v>16</v>
      </c>
      <c r="K1060" t="s">
        <v>23</v>
      </c>
      <c r="L1060" t="s">
        <v>33</v>
      </c>
      <c r="M1060">
        <f>Orders[[#This Row],[Quantity]]*Orders[[#This Row],[UnitPrice]]-Orders[[#This Row],[Discount%]]</f>
        <v>9560.41</v>
      </c>
      <c r="N1060" t="str">
        <f t="shared" si="33"/>
        <v>Low</v>
      </c>
    </row>
    <row r="1061" spans="1:14" x14ac:dyDescent="0.3">
      <c r="A1061" t="s">
        <v>1119</v>
      </c>
      <c r="B1061" s="1">
        <v>45429</v>
      </c>
      <c r="C1061" s="1" t="str">
        <f t="shared" si="32"/>
        <v>May</v>
      </c>
      <c r="D1061" t="s">
        <v>13</v>
      </c>
      <c r="E1061" t="s">
        <v>14</v>
      </c>
      <c r="F1061" t="s">
        <v>15</v>
      </c>
      <c r="G1061">
        <v>4</v>
      </c>
      <c r="H1061">
        <v>3054.44</v>
      </c>
      <c r="I1061" s="3">
        <v>0.05</v>
      </c>
      <c r="J1061" t="s">
        <v>16</v>
      </c>
      <c r="K1061" t="s">
        <v>29</v>
      </c>
      <c r="L1061" t="s">
        <v>33</v>
      </c>
      <c r="M1061">
        <v>11606.87</v>
      </c>
      <c r="N1061" t="str">
        <f t="shared" si="33"/>
        <v>Medium</v>
      </c>
    </row>
    <row r="1062" spans="1:14" x14ac:dyDescent="0.3">
      <c r="A1062" t="s">
        <v>1120</v>
      </c>
      <c r="B1062" s="1">
        <v>45371</v>
      </c>
      <c r="C1062" s="1" t="str">
        <f t="shared" si="32"/>
        <v>March</v>
      </c>
      <c r="D1062" t="s">
        <v>38</v>
      </c>
      <c r="E1062" t="s">
        <v>42</v>
      </c>
      <c r="F1062" t="s">
        <v>32</v>
      </c>
      <c r="G1062">
        <v>4</v>
      </c>
      <c r="H1062">
        <v>6394.9</v>
      </c>
      <c r="I1062" s="3">
        <v>0.1</v>
      </c>
      <c r="J1062" t="s">
        <v>28</v>
      </c>
      <c r="K1062" t="s">
        <v>40</v>
      </c>
      <c r="L1062" t="s">
        <v>33</v>
      </c>
      <c r="M1062">
        <v>23021.64</v>
      </c>
      <c r="N1062" t="str">
        <f t="shared" si="33"/>
        <v>High</v>
      </c>
    </row>
    <row r="1063" spans="1:14" x14ac:dyDescent="0.3">
      <c r="A1063" t="s">
        <v>1121</v>
      </c>
      <c r="B1063" s="1">
        <v>45634</v>
      </c>
      <c r="C1063" s="1" t="str">
        <f t="shared" si="32"/>
        <v>December</v>
      </c>
      <c r="D1063" t="s">
        <v>20</v>
      </c>
      <c r="E1063" t="s">
        <v>57</v>
      </c>
      <c r="F1063" t="s">
        <v>44</v>
      </c>
      <c r="G1063">
        <v>4</v>
      </c>
      <c r="H1063">
        <v>3182.52</v>
      </c>
      <c r="I1063" s="3">
        <v>0.2</v>
      </c>
      <c r="J1063" t="s">
        <v>16</v>
      </c>
      <c r="K1063" t="s">
        <v>49</v>
      </c>
      <c r="L1063" t="s">
        <v>33</v>
      </c>
      <c r="M1063">
        <v>10184.06</v>
      </c>
      <c r="N1063" t="str">
        <f t="shared" si="33"/>
        <v>Medium</v>
      </c>
    </row>
    <row r="1064" spans="1:14" x14ac:dyDescent="0.3">
      <c r="A1064" t="s">
        <v>1122</v>
      </c>
      <c r="B1064" s="1">
        <v>45308</v>
      </c>
      <c r="C1064" s="1" t="str">
        <f t="shared" si="32"/>
        <v>January</v>
      </c>
      <c r="D1064" t="s">
        <v>38</v>
      </c>
      <c r="E1064" t="s">
        <v>51</v>
      </c>
      <c r="F1064" t="s">
        <v>1160</v>
      </c>
      <c r="G1064">
        <v>5</v>
      </c>
      <c r="H1064">
        <v>6399.61</v>
      </c>
      <c r="I1064" s="3">
        <v>0.1</v>
      </c>
      <c r="J1064" t="s">
        <v>16</v>
      </c>
      <c r="K1064" t="s">
        <v>29</v>
      </c>
      <c r="L1064" t="s">
        <v>18</v>
      </c>
      <c r="M1064">
        <v>28798.240000000002</v>
      </c>
      <c r="N1064" t="str">
        <f t="shared" si="33"/>
        <v>High</v>
      </c>
    </row>
    <row r="1065" spans="1:14" x14ac:dyDescent="0.3">
      <c r="A1065" t="s">
        <v>1123</v>
      </c>
      <c r="B1065" s="1">
        <v>45596</v>
      </c>
      <c r="C1065" s="1" t="str">
        <f t="shared" si="32"/>
        <v>October</v>
      </c>
      <c r="D1065" t="s">
        <v>20</v>
      </c>
      <c r="E1065" t="s">
        <v>21</v>
      </c>
      <c r="F1065" t="s">
        <v>32</v>
      </c>
      <c r="G1065">
        <v>4</v>
      </c>
      <c r="H1065">
        <v>253.08</v>
      </c>
      <c r="I1065" s="3">
        <v>0.15</v>
      </c>
      <c r="J1065" t="s">
        <v>22</v>
      </c>
      <c r="K1065" t="s">
        <v>23</v>
      </c>
      <c r="L1065" t="s">
        <v>33</v>
      </c>
      <c r="M1065">
        <v>860.47</v>
      </c>
      <c r="N1065" t="str">
        <f t="shared" si="33"/>
        <v>Low</v>
      </c>
    </row>
    <row r="1066" spans="1:14" x14ac:dyDescent="0.3">
      <c r="A1066" t="s">
        <v>1124</v>
      </c>
      <c r="B1066" s="1">
        <v>45369</v>
      </c>
      <c r="C1066" s="1" t="str">
        <f t="shared" si="32"/>
        <v>March</v>
      </c>
      <c r="D1066" t="s">
        <v>25</v>
      </c>
      <c r="E1066" t="s">
        <v>87</v>
      </c>
      <c r="F1066" t="s">
        <v>47</v>
      </c>
      <c r="G1066">
        <v>5</v>
      </c>
      <c r="H1066">
        <v>1883.75</v>
      </c>
      <c r="I1066" s="3">
        <v>0</v>
      </c>
      <c r="J1066" t="s">
        <v>16</v>
      </c>
      <c r="K1066" t="s">
        <v>23</v>
      </c>
      <c r="L1066" t="s">
        <v>18</v>
      </c>
      <c r="M1066">
        <v>9418.75</v>
      </c>
      <c r="N1066" t="str">
        <f t="shared" si="33"/>
        <v>Low</v>
      </c>
    </row>
    <row r="1067" spans="1:14" x14ac:dyDescent="0.3">
      <c r="A1067" t="s">
        <v>1125</v>
      </c>
      <c r="B1067" s="1">
        <v>45449</v>
      </c>
      <c r="C1067" s="1" t="str">
        <f t="shared" si="32"/>
        <v>June</v>
      </c>
      <c r="D1067" t="s">
        <v>35</v>
      </c>
      <c r="E1067" t="s">
        <v>65</v>
      </c>
      <c r="F1067" t="s">
        <v>27</v>
      </c>
      <c r="G1067">
        <v>3</v>
      </c>
      <c r="H1067">
        <v>5310.87</v>
      </c>
      <c r="I1067" s="3">
        <v>0.05</v>
      </c>
      <c r="J1067" t="s">
        <v>28</v>
      </c>
      <c r="K1067" t="s">
        <v>49</v>
      </c>
      <c r="L1067" t="s">
        <v>33</v>
      </c>
      <c r="M1067">
        <v>15135.98</v>
      </c>
      <c r="N1067" t="str">
        <f t="shared" si="33"/>
        <v>Medium</v>
      </c>
    </row>
    <row r="1068" spans="1:14" x14ac:dyDescent="0.3">
      <c r="A1068" t="s">
        <v>1126</v>
      </c>
      <c r="B1068" s="1">
        <v>45482</v>
      </c>
      <c r="C1068" s="1" t="str">
        <f t="shared" si="32"/>
        <v>July</v>
      </c>
      <c r="D1068" t="s">
        <v>38</v>
      </c>
      <c r="E1068" t="s">
        <v>42</v>
      </c>
      <c r="F1068" t="s">
        <v>47</v>
      </c>
      <c r="G1068">
        <v>3</v>
      </c>
      <c r="H1068">
        <v>6843.88</v>
      </c>
      <c r="I1068" s="3">
        <v>0.2</v>
      </c>
      <c r="J1068" t="s">
        <v>16</v>
      </c>
      <c r="K1068" t="s">
        <v>29</v>
      </c>
      <c r="L1068" t="s">
        <v>33</v>
      </c>
      <c r="M1068">
        <v>16425.310000000001</v>
      </c>
      <c r="N1068" t="str">
        <f t="shared" si="33"/>
        <v>Medium</v>
      </c>
    </row>
    <row r="1069" spans="1:14" x14ac:dyDescent="0.3">
      <c r="A1069" t="s">
        <v>1127</v>
      </c>
      <c r="B1069" s="1">
        <v>45330</v>
      </c>
      <c r="C1069" s="1" t="str">
        <f t="shared" si="32"/>
        <v>February</v>
      </c>
      <c r="D1069" t="s">
        <v>13</v>
      </c>
      <c r="E1069" t="s">
        <v>76</v>
      </c>
      <c r="F1069" t="s">
        <v>32</v>
      </c>
      <c r="G1069">
        <v>2</v>
      </c>
      <c r="H1069">
        <v>2322.0100000000002</v>
      </c>
      <c r="I1069" s="3">
        <v>0.1</v>
      </c>
      <c r="J1069" t="s">
        <v>16</v>
      </c>
      <c r="K1069" t="s">
        <v>29</v>
      </c>
      <c r="L1069" t="s">
        <v>33</v>
      </c>
      <c r="M1069">
        <v>4179.62</v>
      </c>
      <c r="N1069" t="str">
        <f t="shared" si="33"/>
        <v>Low</v>
      </c>
    </row>
    <row r="1070" spans="1:14" x14ac:dyDescent="0.3">
      <c r="A1070" t="s">
        <v>1128</v>
      </c>
      <c r="B1070" s="1">
        <v>45644</v>
      </c>
      <c r="C1070" s="1" t="str">
        <f t="shared" si="32"/>
        <v>December</v>
      </c>
      <c r="D1070" t="s">
        <v>35</v>
      </c>
      <c r="E1070" t="s">
        <v>63</v>
      </c>
      <c r="F1070" t="s">
        <v>15</v>
      </c>
      <c r="G1070">
        <v>6</v>
      </c>
      <c r="H1070">
        <v>6109.74</v>
      </c>
      <c r="I1070" s="3">
        <v>0.1</v>
      </c>
      <c r="J1070" t="s">
        <v>16</v>
      </c>
      <c r="K1070" t="s">
        <v>40</v>
      </c>
      <c r="L1070" t="s">
        <v>18</v>
      </c>
      <c r="M1070">
        <v>32992.6</v>
      </c>
      <c r="N1070" t="str">
        <f t="shared" si="33"/>
        <v>High</v>
      </c>
    </row>
    <row r="1071" spans="1:14" x14ac:dyDescent="0.3">
      <c r="A1071" t="s">
        <v>1129</v>
      </c>
      <c r="B1071" s="1">
        <v>45465</v>
      </c>
      <c r="C1071" s="1" t="str">
        <f t="shared" si="32"/>
        <v>June</v>
      </c>
      <c r="D1071" t="s">
        <v>38</v>
      </c>
      <c r="E1071" t="s">
        <v>39</v>
      </c>
      <c r="F1071" t="s">
        <v>1160</v>
      </c>
      <c r="G1071">
        <v>5</v>
      </c>
      <c r="H1071">
        <v>2430.6799999999998</v>
      </c>
      <c r="I1071" s="3">
        <v>0.25</v>
      </c>
      <c r="J1071" t="s">
        <v>28</v>
      </c>
      <c r="K1071" t="s">
        <v>29</v>
      </c>
      <c r="L1071" t="s">
        <v>33</v>
      </c>
      <c r="M1071">
        <v>9115.0499999999993</v>
      </c>
      <c r="N1071" t="str">
        <f t="shared" si="33"/>
        <v>Low</v>
      </c>
    </row>
    <row r="1072" spans="1:14" x14ac:dyDescent="0.3">
      <c r="A1072" t="s">
        <v>1130</v>
      </c>
      <c r="B1072" s="1">
        <v>45443</v>
      </c>
      <c r="C1072" s="1" t="str">
        <f t="shared" si="32"/>
        <v>May</v>
      </c>
      <c r="D1072" t="s">
        <v>20</v>
      </c>
      <c r="E1072" t="s">
        <v>59</v>
      </c>
      <c r="F1072" t="s">
        <v>47</v>
      </c>
      <c r="G1072">
        <v>2</v>
      </c>
      <c r="H1072">
        <v>1298.45</v>
      </c>
      <c r="I1072" s="3">
        <v>0.15</v>
      </c>
      <c r="J1072" t="s">
        <v>16</v>
      </c>
      <c r="K1072" t="s">
        <v>29</v>
      </c>
      <c r="L1072" t="s">
        <v>18</v>
      </c>
      <c r="M1072">
        <v>2207.37</v>
      </c>
      <c r="N1072" t="str">
        <f t="shared" si="33"/>
        <v>Low</v>
      </c>
    </row>
    <row r="1073" spans="1:14" x14ac:dyDescent="0.3">
      <c r="A1073" t="s">
        <v>1131</v>
      </c>
      <c r="B1073" s="1">
        <v>45477</v>
      </c>
      <c r="C1073" s="1" t="str">
        <f t="shared" si="32"/>
        <v>July</v>
      </c>
      <c r="D1073" t="s">
        <v>35</v>
      </c>
      <c r="E1073" t="s">
        <v>63</v>
      </c>
      <c r="F1073" t="s">
        <v>44</v>
      </c>
      <c r="G1073">
        <v>3</v>
      </c>
      <c r="H1073">
        <v>1542.62</v>
      </c>
      <c r="I1073" s="3">
        <v>0.1</v>
      </c>
      <c r="J1073" t="s">
        <v>22</v>
      </c>
      <c r="K1073" t="s">
        <v>17</v>
      </c>
      <c r="L1073" t="s">
        <v>33</v>
      </c>
      <c r="M1073">
        <v>4165.07</v>
      </c>
      <c r="N1073" t="str">
        <f t="shared" si="33"/>
        <v>Low</v>
      </c>
    </row>
    <row r="1074" spans="1:14" x14ac:dyDescent="0.3">
      <c r="A1074" t="s">
        <v>1132</v>
      </c>
      <c r="B1074" s="1">
        <v>45607</v>
      </c>
      <c r="C1074" s="1" t="str">
        <f t="shared" si="32"/>
        <v>November</v>
      </c>
      <c r="D1074" t="s">
        <v>20</v>
      </c>
      <c r="E1074" t="s">
        <v>21</v>
      </c>
      <c r="F1074" t="s">
        <v>15</v>
      </c>
      <c r="G1074">
        <v>6</v>
      </c>
      <c r="H1074">
        <v>5472.87</v>
      </c>
      <c r="I1074" s="3">
        <v>0.25</v>
      </c>
      <c r="J1074" t="s">
        <v>22</v>
      </c>
      <c r="K1074" t="s">
        <v>40</v>
      </c>
      <c r="L1074" t="s">
        <v>18</v>
      </c>
      <c r="M1074">
        <v>24627.919999999998</v>
      </c>
      <c r="N1074" t="str">
        <f t="shared" si="33"/>
        <v>High</v>
      </c>
    </row>
    <row r="1075" spans="1:14" x14ac:dyDescent="0.3">
      <c r="A1075" t="s">
        <v>1133</v>
      </c>
      <c r="B1075" s="1">
        <v>45499</v>
      </c>
      <c r="C1075" s="1" t="str">
        <f t="shared" si="32"/>
        <v>July</v>
      </c>
      <c r="D1075" t="s">
        <v>20</v>
      </c>
      <c r="E1075" t="s">
        <v>78</v>
      </c>
      <c r="F1075" t="s">
        <v>44</v>
      </c>
      <c r="G1075">
        <v>5</v>
      </c>
      <c r="H1075">
        <v>5017.53</v>
      </c>
      <c r="I1075" s="3">
        <v>0.1</v>
      </c>
      <c r="J1075" t="s">
        <v>16</v>
      </c>
      <c r="K1075" t="s">
        <v>17</v>
      </c>
      <c r="L1075" t="s">
        <v>18</v>
      </c>
      <c r="M1075">
        <v>22578.880000000001</v>
      </c>
      <c r="N1075" t="str">
        <f t="shared" si="33"/>
        <v>High</v>
      </c>
    </row>
    <row r="1076" spans="1:14" x14ac:dyDescent="0.3">
      <c r="A1076" t="s">
        <v>1134</v>
      </c>
      <c r="B1076" s="1">
        <v>45409</v>
      </c>
      <c r="C1076" s="1" t="str">
        <f t="shared" si="32"/>
        <v>April</v>
      </c>
      <c r="D1076" t="s">
        <v>25</v>
      </c>
      <c r="E1076" t="s">
        <v>26</v>
      </c>
      <c r="F1076" t="s">
        <v>47</v>
      </c>
      <c r="G1076">
        <v>1</v>
      </c>
      <c r="H1076">
        <v>487.12</v>
      </c>
      <c r="I1076" s="3">
        <v>0</v>
      </c>
      <c r="J1076" t="s">
        <v>22</v>
      </c>
      <c r="K1076" t="s">
        <v>29</v>
      </c>
      <c r="L1076" t="s">
        <v>33</v>
      </c>
      <c r="M1076">
        <v>487.12</v>
      </c>
      <c r="N1076" t="str">
        <f t="shared" si="33"/>
        <v>Low</v>
      </c>
    </row>
    <row r="1077" spans="1:14" x14ac:dyDescent="0.3">
      <c r="A1077" t="s">
        <v>1135</v>
      </c>
      <c r="B1077" s="1">
        <v>45459</v>
      </c>
      <c r="C1077" s="1" t="str">
        <f t="shared" si="32"/>
        <v>June</v>
      </c>
      <c r="D1077" t="s">
        <v>38</v>
      </c>
      <c r="E1077" t="s">
        <v>51</v>
      </c>
      <c r="F1077" t="s">
        <v>32</v>
      </c>
      <c r="G1077">
        <v>2</v>
      </c>
      <c r="H1077">
        <v>3549.77</v>
      </c>
      <c r="I1077" s="3">
        <v>0.1</v>
      </c>
      <c r="J1077" t="s">
        <v>55</v>
      </c>
      <c r="K1077" t="s">
        <v>29</v>
      </c>
      <c r="L1077" t="s">
        <v>33</v>
      </c>
      <c r="M1077">
        <v>6389.59</v>
      </c>
      <c r="N1077" t="str">
        <f t="shared" si="33"/>
        <v>Low</v>
      </c>
    </row>
    <row r="1078" spans="1:14" x14ac:dyDescent="0.3">
      <c r="A1078" t="s">
        <v>1136</v>
      </c>
      <c r="B1078" s="1">
        <v>45412</v>
      </c>
      <c r="C1078" s="1" t="str">
        <f t="shared" si="32"/>
        <v>April</v>
      </c>
      <c r="D1078" t="s">
        <v>38</v>
      </c>
      <c r="E1078" t="s">
        <v>51</v>
      </c>
      <c r="F1078" t="s">
        <v>15</v>
      </c>
      <c r="G1078">
        <v>6</v>
      </c>
      <c r="H1078">
        <v>2728.01</v>
      </c>
      <c r="I1078" s="3">
        <v>0.1</v>
      </c>
      <c r="J1078" t="s">
        <v>16</v>
      </c>
      <c r="K1078" t="s">
        <v>40</v>
      </c>
      <c r="L1078" t="s">
        <v>33</v>
      </c>
      <c r="M1078">
        <v>14731.25</v>
      </c>
      <c r="N1078" t="str">
        <f t="shared" si="33"/>
        <v>Medium</v>
      </c>
    </row>
    <row r="1079" spans="1:14" x14ac:dyDescent="0.3">
      <c r="A1079" t="s">
        <v>1137</v>
      </c>
      <c r="B1079" s="1">
        <v>45499</v>
      </c>
      <c r="C1079" s="1" t="str">
        <f t="shared" si="32"/>
        <v>July</v>
      </c>
      <c r="D1079" t="s">
        <v>13</v>
      </c>
      <c r="E1079" t="s">
        <v>74</v>
      </c>
      <c r="F1079" t="s">
        <v>32</v>
      </c>
      <c r="G1079">
        <v>6</v>
      </c>
      <c r="H1079">
        <v>2208.5300000000002</v>
      </c>
      <c r="I1079" s="3">
        <v>0.2</v>
      </c>
      <c r="J1079" t="s">
        <v>16</v>
      </c>
      <c r="K1079" t="s">
        <v>40</v>
      </c>
      <c r="L1079" t="s">
        <v>18</v>
      </c>
      <c r="M1079">
        <v>10600.94</v>
      </c>
      <c r="N1079" t="str">
        <f t="shared" si="33"/>
        <v>Medium</v>
      </c>
    </row>
    <row r="1080" spans="1:14" x14ac:dyDescent="0.3">
      <c r="A1080" t="s">
        <v>1138</v>
      </c>
      <c r="B1080" s="1">
        <v>45611</v>
      </c>
      <c r="C1080" s="1" t="str">
        <f t="shared" si="32"/>
        <v>November</v>
      </c>
      <c r="D1080" t="s">
        <v>25</v>
      </c>
      <c r="E1080" t="s">
        <v>31</v>
      </c>
      <c r="F1080" t="s">
        <v>32</v>
      </c>
      <c r="G1080">
        <v>2</v>
      </c>
      <c r="H1080">
        <v>2397.73</v>
      </c>
      <c r="I1080" s="3">
        <v>0.2</v>
      </c>
      <c r="J1080" t="s">
        <v>16</v>
      </c>
      <c r="K1080" t="s">
        <v>17</v>
      </c>
      <c r="L1080" t="s">
        <v>18</v>
      </c>
      <c r="M1080">
        <v>3836.37</v>
      </c>
      <c r="N1080" t="str">
        <f t="shared" si="33"/>
        <v>Low</v>
      </c>
    </row>
    <row r="1081" spans="1:14" x14ac:dyDescent="0.3">
      <c r="A1081" t="s">
        <v>1139</v>
      </c>
      <c r="B1081" s="1">
        <v>45599</v>
      </c>
      <c r="C1081" s="1" t="str">
        <f t="shared" si="32"/>
        <v>November</v>
      </c>
      <c r="D1081" t="s">
        <v>25</v>
      </c>
      <c r="E1081" t="s">
        <v>94</v>
      </c>
      <c r="F1081" t="s">
        <v>27</v>
      </c>
      <c r="G1081">
        <v>4</v>
      </c>
      <c r="H1081">
        <v>1806.36</v>
      </c>
      <c r="I1081" s="3">
        <v>0.2</v>
      </c>
      <c r="J1081" t="s">
        <v>22</v>
      </c>
      <c r="K1081" t="s">
        <v>29</v>
      </c>
      <c r="L1081" t="s">
        <v>18</v>
      </c>
      <c r="M1081">
        <v>5780.35</v>
      </c>
      <c r="N1081" t="str">
        <f t="shared" si="33"/>
        <v>Low</v>
      </c>
    </row>
    <row r="1082" spans="1:14" x14ac:dyDescent="0.3">
      <c r="A1082" t="s">
        <v>1140</v>
      </c>
      <c r="B1082" s="1">
        <v>45461</v>
      </c>
      <c r="C1082" s="1" t="str">
        <f t="shared" si="32"/>
        <v>June</v>
      </c>
      <c r="D1082" t="s">
        <v>20</v>
      </c>
      <c r="E1082" t="s">
        <v>59</v>
      </c>
      <c r="F1082" t="s">
        <v>15</v>
      </c>
      <c r="G1082">
        <v>2</v>
      </c>
      <c r="H1082">
        <v>6796.69</v>
      </c>
      <c r="I1082" s="3">
        <v>0.1</v>
      </c>
      <c r="J1082" t="s">
        <v>16</v>
      </c>
      <c r="K1082" t="s">
        <v>23</v>
      </c>
      <c r="L1082" t="s">
        <v>18</v>
      </c>
      <c r="M1082">
        <v>12234.04</v>
      </c>
      <c r="N1082" t="str">
        <f t="shared" si="33"/>
        <v>Medium</v>
      </c>
    </row>
    <row r="1083" spans="1:14" x14ac:dyDescent="0.3">
      <c r="A1083" t="s">
        <v>1141</v>
      </c>
      <c r="B1083" s="1">
        <v>45513</v>
      </c>
      <c r="C1083" s="1" t="str">
        <f t="shared" si="32"/>
        <v>August</v>
      </c>
      <c r="D1083" t="s">
        <v>35</v>
      </c>
      <c r="E1083" t="s">
        <v>65</v>
      </c>
      <c r="F1083" t="s">
        <v>44</v>
      </c>
      <c r="G1083">
        <v>6</v>
      </c>
      <c r="H1083">
        <v>2159.48</v>
      </c>
      <c r="I1083" s="3">
        <v>0.05</v>
      </c>
      <c r="J1083" t="s">
        <v>55</v>
      </c>
      <c r="K1083" t="s">
        <v>23</v>
      </c>
      <c r="L1083" t="s">
        <v>33</v>
      </c>
      <c r="M1083">
        <v>12309.04</v>
      </c>
      <c r="N1083" t="str">
        <f t="shared" si="33"/>
        <v>Medium</v>
      </c>
    </row>
    <row r="1084" spans="1:14" x14ac:dyDescent="0.3">
      <c r="A1084" t="s">
        <v>1142</v>
      </c>
      <c r="B1084" s="1">
        <v>45455</v>
      </c>
      <c r="C1084" s="1" t="str">
        <f t="shared" si="32"/>
        <v>June</v>
      </c>
      <c r="D1084" t="s">
        <v>13</v>
      </c>
      <c r="E1084" t="s">
        <v>76</v>
      </c>
      <c r="F1084" t="s">
        <v>44</v>
      </c>
      <c r="G1084">
        <v>1</v>
      </c>
      <c r="H1084">
        <v>240.1</v>
      </c>
      <c r="I1084" s="3">
        <v>0.05</v>
      </c>
      <c r="J1084" t="s">
        <v>16</v>
      </c>
      <c r="K1084" t="s">
        <v>17</v>
      </c>
      <c r="L1084" t="s">
        <v>18</v>
      </c>
      <c r="M1084">
        <v>228.09</v>
      </c>
      <c r="N1084" t="str">
        <f t="shared" si="33"/>
        <v>Low</v>
      </c>
    </row>
    <row r="1085" spans="1:14" x14ac:dyDescent="0.3">
      <c r="A1085" t="s">
        <v>1143</v>
      </c>
      <c r="B1085" s="1">
        <v>45656</v>
      </c>
      <c r="C1085" s="1" t="str">
        <f t="shared" si="32"/>
        <v>December</v>
      </c>
      <c r="D1085" t="s">
        <v>35</v>
      </c>
      <c r="E1085" t="s">
        <v>68</v>
      </c>
      <c r="F1085" t="s">
        <v>53</v>
      </c>
      <c r="G1085">
        <v>3</v>
      </c>
      <c r="H1085">
        <v>408.6</v>
      </c>
      <c r="I1085" s="3">
        <v>0.1</v>
      </c>
      <c r="J1085" t="s">
        <v>55</v>
      </c>
      <c r="K1085" t="s">
        <v>29</v>
      </c>
      <c r="L1085" t="s">
        <v>18</v>
      </c>
      <c r="M1085">
        <f>Orders[[#This Row],[Quantity]]*Orders[[#This Row],[UnitPrice]]-Orders[[#This Row],[Discount%]]</f>
        <v>1225.7000000000003</v>
      </c>
      <c r="N1085" t="str">
        <f t="shared" si="33"/>
        <v>Low</v>
      </c>
    </row>
    <row r="1086" spans="1:14" x14ac:dyDescent="0.3">
      <c r="A1086" t="s">
        <v>1144</v>
      </c>
      <c r="B1086" s="1">
        <v>45571</v>
      </c>
      <c r="C1086" s="1" t="str">
        <f t="shared" si="32"/>
        <v>October</v>
      </c>
      <c r="D1086" t="s">
        <v>20</v>
      </c>
      <c r="E1086" t="s">
        <v>59</v>
      </c>
      <c r="F1086" t="s">
        <v>15</v>
      </c>
      <c r="G1086">
        <v>3</v>
      </c>
      <c r="H1086">
        <v>5654.78</v>
      </c>
      <c r="I1086" s="3">
        <v>0</v>
      </c>
      <c r="J1086" t="s">
        <v>16</v>
      </c>
      <c r="K1086" t="s">
        <v>40</v>
      </c>
      <c r="L1086" t="s">
        <v>33</v>
      </c>
      <c r="M1086">
        <v>16964.34</v>
      </c>
      <c r="N1086" t="str">
        <f t="shared" si="33"/>
        <v>Medium</v>
      </c>
    </row>
    <row r="1087" spans="1:14" x14ac:dyDescent="0.3">
      <c r="A1087" t="s">
        <v>1145</v>
      </c>
      <c r="B1087" s="1">
        <v>45303</v>
      </c>
      <c r="C1087" s="1" t="str">
        <f t="shared" si="32"/>
        <v>January</v>
      </c>
      <c r="D1087" t="s">
        <v>35</v>
      </c>
      <c r="E1087" t="s">
        <v>36</v>
      </c>
      <c r="F1087" t="s">
        <v>53</v>
      </c>
      <c r="G1087">
        <v>2</v>
      </c>
      <c r="H1087">
        <v>4429.08</v>
      </c>
      <c r="I1087" s="3">
        <v>0.05</v>
      </c>
      <c r="J1087" t="s">
        <v>16</v>
      </c>
      <c r="K1087" t="s">
        <v>40</v>
      </c>
      <c r="L1087" t="s">
        <v>33</v>
      </c>
      <c r="M1087">
        <v>8415.25</v>
      </c>
      <c r="N1087" t="str">
        <f t="shared" si="33"/>
        <v>Low</v>
      </c>
    </row>
    <row r="1088" spans="1:14" x14ac:dyDescent="0.3">
      <c r="A1088" t="s">
        <v>1146</v>
      </c>
      <c r="B1088" s="1">
        <v>45482</v>
      </c>
      <c r="C1088" s="1" t="str">
        <f t="shared" si="32"/>
        <v>July</v>
      </c>
      <c r="D1088" t="s">
        <v>25</v>
      </c>
      <c r="E1088" t="s">
        <v>26</v>
      </c>
      <c r="F1088" t="s">
        <v>27</v>
      </c>
      <c r="G1088">
        <v>1</v>
      </c>
      <c r="H1088">
        <v>2721.93</v>
      </c>
      <c r="I1088" s="3">
        <v>0.05</v>
      </c>
      <c r="J1088" t="s">
        <v>16</v>
      </c>
      <c r="K1088" t="s">
        <v>49</v>
      </c>
      <c r="L1088" t="s">
        <v>18</v>
      </c>
      <c r="M1088">
        <v>2585.83</v>
      </c>
      <c r="N1088" t="str">
        <f t="shared" si="33"/>
        <v>Low</v>
      </c>
    </row>
    <row r="1089" spans="1:14" x14ac:dyDescent="0.3">
      <c r="A1089" t="s">
        <v>1147</v>
      </c>
      <c r="B1089" s="1">
        <v>45442</v>
      </c>
      <c r="C1089" s="1" t="str">
        <f t="shared" si="32"/>
        <v>May</v>
      </c>
      <c r="D1089" t="s">
        <v>20</v>
      </c>
      <c r="E1089" t="s">
        <v>21</v>
      </c>
      <c r="F1089" t="s">
        <v>47</v>
      </c>
      <c r="G1089">
        <v>5</v>
      </c>
      <c r="H1089">
        <v>7199.48</v>
      </c>
      <c r="I1089" s="3">
        <v>0.25</v>
      </c>
      <c r="J1089" t="s">
        <v>55</v>
      </c>
      <c r="K1089" t="s">
        <v>23</v>
      </c>
      <c r="L1089" t="s">
        <v>33</v>
      </c>
      <c r="M1089">
        <v>26998.05</v>
      </c>
      <c r="N1089" t="str">
        <f t="shared" si="33"/>
        <v>High</v>
      </c>
    </row>
    <row r="1090" spans="1:14" x14ac:dyDescent="0.3">
      <c r="A1090" t="s">
        <v>1148</v>
      </c>
      <c r="B1090" s="1">
        <v>45363</v>
      </c>
      <c r="C1090" s="1" t="str">
        <f t="shared" ref="C1090:C1101" si="34">TEXT(B1090,"mmmm")</f>
        <v>March</v>
      </c>
      <c r="D1090" t="s">
        <v>13</v>
      </c>
      <c r="E1090" t="s">
        <v>74</v>
      </c>
      <c r="F1090" t="s">
        <v>27</v>
      </c>
      <c r="G1090">
        <v>4</v>
      </c>
      <c r="H1090">
        <v>3770.66</v>
      </c>
      <c r="I1090" s="3">
        <v>0</v>
      </c>
      <c r="J1090" t="s">
        <v>16</v>
      </c>
      <c r="K1090" t="s">
        <v>40</v>
      </c>
      <c r="L1090" t="s">
        <v>33</v>
      </c>
      <c r="M1090">
        <v>15082.64</v>
      </c>
      <c r="N1090" t="str">
        <f t="shared" ref="N1090:N1101" si="35">IF(M1090&gt;20000,"High",IF(M1090&gt;10000,"Medium","Low"))</f>
        <v>Medium</v>
      </c>
    </row>
    <row r="1091" spans="1:14" x14ac:dyDescent="0.3">
      <c r="A1091" t="s">
        <v>1149</v>
      </c>
      <c r="B1091" s="1">
        <v>45496</v>
      </c>
      <c r="C1091" s="1" t="str">
        <f t="shared" si="34"/>
        <v>July</v>
      </c>
      <c r="D1091" t="s">
        <v>20</v>
      </c>
      <c r="E1091" t="s">
        <v>21</v>
      </c>
      <c r="F1091" t="s">
        <v>53</v>
      </c>
      <c r="G1091">
        <v>4</v>
      </c>
      <c r="H1091">
        <v>1291.3499999999999</v>
      </c>
      <c r="I1091" s="3">
        <v>0.1</v>
      </c>
      <c r="J1091" t="s">
        <v>16</v>
      </c>
      <c r="K1091" t="s">
        <v>17</v>
      </c>
      <c r="L1091" t="s">
        <v>33</v>
      </c>
      <c r="M1091">
        <v>4648.8599999999997</v>
      </c>
      <c r="N1091" t="str">
        <f t="shared" si="35"/>
        <v>Low</v>
      </c>
    </row>
    <row r="1092" spans="1:14" x14ac:dyDescent="0.3">
      <c r="A1092" t="s">
        <v>1150</v>
      </c>
      <c r="B1092" s="1">
        <v>45579</v>
      </c>
      <c r="C1092" s="1" t="str">
        <f t="shared" si="34"/>
        <v>October</v>
      </c>
      <c r="D1092" t="s">
        <v>25</v>
      </c>
      <c r="E1092" t="s">
        <v>26</v>
      </c>
      <c r="F1092" t="s">
        <v>15</v>
      </c>
      <c r="G1092">
        <v>2</v>
      </c>
      <c r="H1092">
        <v>6527.7</v>
      </c>
      <c r="I1092" s="3">
        <v>0.25</v>
      </c>
      <c r="J1092" t="s">
        <v>16</v>
      </c>
      <c r="K1092" t="s">
        <v>17</v>
      </c>
      <c r="L1092" t="s">
        <v>18</v>
      </c>
      <c r="M1092">
        <v>9791.5499999999993</v>
      </c>
      <c r="N1092" t="str">
        <f t="shared" si="35"/>
        <v>Low</v>
      </c>
    </row>
    <row r="1093" spans="1:14" x14ac:dyDescent="0.3">
      <c r="A1093" t="s">
        <v>1151</v>
      </c>
      <c r="B1093" s="1">
        <v>45643</v>
      </c>
      <c r="C1093" s="1" t="str">
        <f t="shared" si="34"/>
        <v>December</v>
      </c>
      <c r="D1093" t="s">
        <v>25</v>
      </c>
      <c r="E1093" t="s">
        <v>94</v>
      </c>
      <c r="F1093" t="s">
        <v>47</v>
      </c>
      <c r="G1093">
        <v>3</v>
      </c>
      <c r="H1093">
        <v>730.2</v>
      </c>
      <c r="I1093" s="3">
        <v>0.1</v>
      </c>
      <c r="J1093" t="s">
        <v>16</v>
      </c>
      <c r="K1093" t="s">
        <v>49</v>
      </c>
      <c r="L1093" t="s">
        <v>18</v>
      </c>
      <c r="M1093">
        <v>1971.54</v>
      </c>
      <c r="N1093" t="str">
        <f t="shared" si="35"/>
        <v>Low</v>
      </c>
    </row>
    <row r="1094" spans="1:14" x14ac:dyDescent="0.3">
      <c r="A1094" t="s">
        <v>1152</v>
      </c>
      <c r="B1094" s="1">
        <v>45342</v>
      </c>
      <c r="C1094" s="1" t="str">
        <f t="shared" si="34"/>
        <v>February</v>
      </c>
      <c r="D1094" t="s">
        <v>20</v>
      </c>
      <c r="E1094" t="s">
        <v>78</v>
      </c>
      <c r="F1094" t="s">
        <v>53</v>
      </c>
      <c r="G1094">
        <v>5</v>
      </c>
      <c r="H1094">
        <v>6479.62</v>
      </c>
      <c r="I1094" s="3">
        <v>0</v>
      </c>
      <c r="J1094" t="s">
        <v>16</v>
      </c>
      <c r="K1094" t="s">
        <v>40</v>
      </c>
      <c r="L1094" t="s">
        <v>33</v>
      </c>
      <c r="M1094">
        <v>32398.1</v>
      </c>
      <c r="N1094" t="str">
        <f t="shared" si="35"/>
        <v>High</v>
      </c>
    </row>
    <row r="1095" spans="1:14" x14ac:dyDescent="0.3">
      <c r="A1095" t="s">
        <v>1153</v>
      </c>
      <c r="B1095" s="1">
        <v>45420</v>
      </c>
      <c r="C1095" s="1" t="str">
        <f t="shared" si="34"/>
        <v>May</v>
      </c>
      <c r="D1095" t="s">
        <v>13</v>
      </c>
      <c r="E1095" t="s">
        <v>74</v>
      </c>
      <c r="F1095" t="s">
        <v>15</v>
      </c>
      <c r="G1095">
        <v>6</v>
      </c>
      <c r="H1095">
        <v>2583.85</v>
      </c>
      <c r="I1095" s="3">
        <v>0</v>
      </c>
      <c r="J1095" t="s">
        <v>55</v>
      </c>
      <c r="K1095" t="s">
        <v>40</v>
      </c>
      <c r="L1095" t="s">
        <v>33</v>
      </c>
      <c r="M1095">
        <v>15503.1</v>
      </c>
      <c r="N1095" t="str">
        <f t="shared" si="35"/>
        <v>Medium</v>
      </c>
    </row>
    <row r="1096" spans="1:14" x14ac:dyDescent="0.3">
      <c r="A1096" t="s">
        <v>1154</v>
      </c>
      <c r="B1096" s="1">
        <v>45502</v>
      </c>
      <c r="C1096" s="1" t="str">
        <f t="shared" si="34"/>
        <v>July</v>
      </c>
      <c r="D1096" t="s">
        <v>13</v>
      </c>
      <c r="E1096" t="s">
        <v>70</v>
      </c>
      <c r="F1096" t="s">
        <v>44</v>
      </c>
      <c r="G1096">
        <v>5</v>
      </c>
      <c r="H1096">
        <v>3138.93</v>
      </c>
      <c r="I1096" s="3">
        <v>0</v>
      </c>
      <c r="J1096" t="s">
        <v>16</v>
      </c>
      <c r="K1096" t="s">
        <v>29</v>
      </c>
      <c r="L1096" t="s">
        <v>33</v>
      </c>
      <c r="M1096">
        <f>Orders[[#This Row],[Quantity]]*Orders[[#This Row],[UnitPrice]]-Orders[[#This Row],[Discount%]]</f>
        <v>15694.65</v>
      </c>
      <c r="N1096" t="str">
        <f t="shared" si="35"/>
        <v>Medium</v>
      </c>
    </row>
    <row r="1097" spans="1:14" x14ac:dyDescent="0.3">
      <c r="A1097" t="s">
        <v>1155</v>
      </c>
      <c r="B1097" s="1">
        <v>45408</v>
      </c>
      <c r="C1097" s="1" t="str">
        <f t="shared" si="34"/>
        <v>April</v>
      </c>
      <c r="D1097" t="s">
        <v>35</v>
      </c>
      <c r="E1097" t="s">
        <v>68</v>
      </c>
      <c r="F1097" t="s">
        <v>15</v>
      </c>
      <c r="G1097">
        <v>2</v>
      </c>
      <c r="H1097">
        <v>5536.94</v>
      </c>
      <c r="I1097" s="3">
        <v>0.25</v>
      </c>
      <c r="J1097" t="s">
        <v>55</v>
      </c>
      <c r="K1097" t="s">
        <v>49</v>
      </c>
      <c r="L1097" t="s">
        <v>33</v>
      </c>
      <c r="M1097">
        <v>8305.41</v>
      </c>
      <c r="N1097" t="str">
        <f t="shared" si="35"/>
        <v>Low</v>
      </c>
    </row>
    <row r="1098" spans="1:14" x14ac:dyDescent="0.3">
      <c r="A1098" t="s">
        <v>1156</v>
      </c>
      <c r="B1098" s="1">
        <v>45494</v>
      </c>
      <c r="C1098" s="1" t="str">
        <f t="shared" si="34"/>
        <v>July</v>
      </c>
      <c r="D1098" t="s">
        <v>13</v>
      </c>
      <c r="E1098" t="s">
        <v>108</v>
      </c>
      <c r="F1098" t="s">
        <v>15</v>
      </c>
      <c r="G1098">
        <v>1</v>
      </c>
      <c r="H1098">
        <v>5287.21</v>
      </c>
      <c r="I1098" s="3">
        <v>0.05</v>
      </c>
      <c r="J1098" t="s">
        <v>16</v>
      </c>
      <c r="K1098" t="s">
        <v>17</v>
      </c>
      <c r="L1098" t="s">
        <v>33</v>
      </c>
      <c r="M1098">
        <v>5022.8500000000004</v>
      </c>
      <c r="N1098" t="str">
        <f t="shared" si="35"/>
        <v>Low</v>
      </c>
    </row>
    <row r="1099" spans="1:14" x14ac:dyDescent="0.3">
      <c r="A1099" t="s">
        <v>1157</v>
      </c>
      <c r="B1099" s="1">
        <v>45332</v>
      </c>
      <c r="C1099" s="1" t="str">
        <f t="shared" si="34"/>
        <v>February</v>
      </c>
      <c r="D1099" t="s">
        <v>38</v>
      </c>
      <c r="E1099" t="s">
        <v>51</v>
      </c>
      <c r="F1099" t="s">
        <v>15</v>
      </c>
      <c r="G1099">
        <v>4</v>
      </c>
      <c r="H1099">
        <v>5175.57</v>
      </c>
      <c r="I1099" s="3">
        <v>0.1</v>
      </c>
      <c r="J1099" t="s">
        <v>16</v>
      </c>
      <c r="K1099" t="s">
        <v>23</v>
      </c>
      <c r="L1099" t="s">
        <v>18</v>
      </c>
      <c r="M1099">
        <v>18632.05</v>
      </c>
      <c r="N1099" t="str">
        <f t="shared" si="35"/>
        <v>Medium</v>
      </c>
    </row>
    <row r="1100" spans="1:14" x14ac:dyDescent="0.3">
      <c r="A1100" t="s">
        <v>1158</v>
      </c>
      <c r="B1100" s="1">
        <v>45297</v>
      </c>
      <c r="C1100" s="1" t="str">
        <f t="shared" si="34"/>
        <v>January</v>
      </c>
      <c r="D1100" t="s">
        <v>13</v>
      </c>
      <c r="E1100" t="s">
        <v>74</v>
      </c>
      <c r="F1100" t="s">
        <v>44</v>
      </c>
      <c r="G1100">
        <v>2</v>
      </c>
      <c r="H1100">
        <v>4780.99</v>
      </c>
      <c r="I1100" s="3">
        <v>0.25</v>
      </c>
      <c r="J1100" t="s">
        <v>16</v>
      </c>
      <c r="K1100" t="s">
        <v>29</v>
      </c>
      <c r="L1100" t="s">
        <v>33</v>
      </c>
      <c r="M1100">
        <v>7171.48</v>
      </c>
      <c r="N1100" t="str">
        <f t="shared" si="35"/>
        <v>Low</v>
      </c>
    </row>
    <row r="1101" spans="1:14" x14ac:dyDescent="0.3">
      <c r="A1101" t="s">
        <v>1159</v>
      </c>
      <c r="B1101" s="1">
        <v>45341</v>
      </c>
      <c r="C1101" s="1" t="str">
        <f t="shared" si="34"/>
        <v>February</v>
      </c>
      <c r="D1101" t="s">
        <v>38</v>
      </c>
      <c r="E1101" t="s">
        <v>51</v>
      </c>
      <c r="F1101" t="s">
        <v>15</v>
      </c>
      <c r="G1101">
        <v>3</v>
      </c>
      <c r="H1101">
        <v>7956.12</v>
      </c>
      <c r="I1101" s="3">
        <v>0.25</v>
      </c>
      <c r="J1101" t="s">
        <v>16</v>
      </c>
      <c r="K1101" t="s">
        <v>40</v>
      </c>
      <c r="L1101" t="s">
        <v>33</v>
      </c>
      <c r="M1101">
        <v>17901.27</v>
      </c>
      <c r="N1101" t="str">
        <f t="shared" si="35"/>
        <v>Medium</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B3883-55D5-4A3D-A48C-CCC910918F69}">
  <dimension ref="A3:C17"/>
  <sheetViews>
    <sheetView workbookViewId="0">
      <selection activeCell="E21" sqref="E21"/>
    </sheetView>
  </sheetViews>
  <sheetFormatPr defaultRowHeight="14.4" x14ac:dyDescent="0.3"/>
  <cols>
    <col min="1" max="1" width="24.5546875" customWidth="1"/>
    <col min="2" max="2" width="29.33203125" customWidth="1"/>
    <col min="3" max="3" width="14.109375" customWidth="1"/>
  </cols>
  <sheetData>
    <row r="3" spans="1:3" x14ac:dyDescent="0.3">
      <c r="A3" s="6" t="s">
        <v>1163</v>
      </c>
      <c r="B3" s="5">
        <f>COUNTA(Orders[OrderID])</f>
        <v>1100</v>
      </c>
    </row>
    <row r="4" spans="1:3" x14ac:dyDescent="0.3">
      <c r="A4" s="6"/>
    </row>
    <row r="5" spans="1:3" x14ac:dyDescent="0.3">
      <c r="A5" s="6" t="s">
        <v>1164</v>
      </c>
      <c r="B5" s="5">
        <f>SUM(Orders[OrderAmount])</f>
        <v>13490586.329999994</v>
      </c>
    </row>
    <row r="6" spans="1:3" x14ac:dyDescent="0.3">
      <c r="A6" s="6"/>
    </row>
    <row r="7" spans="1:3" x14ac:dyDescent="0.3">
      <c r="A7" s="6" t="s">
        <v>1165</v>
      </c>
      <c r="B7" s="5">
        <f>AVERAGE(Orders[OrderAmount])</f>
        <v>12264.169390909086</v>
      </c>
    </row>
    <row r="8" spans="1:3" x14ac:dyDescent="0.3">
      <c r="A8" s="6"/>
    </row>
    <row r="9" spans="1:3" x14ac:dyDescent="0.3">
      <c r="A9" s="6" t="s">
        <v>1169</v>
      </c>
      <c r="B9" s="5">
        <f>COUNTIF(Orders[OrderStatus],"Delivered")</f>
        <v>554</v>
      </c>
    </row>
    <row r="10" spans="1:3" x14ac:dyDescent="0.3">
      <c r="A10" s="6"/>
    </row>
    <row r="11" spans="1:3" x14ac:dyDescent="0.3">
      <c r="A11" s="6" t="s">
        <v>1166</v>
      </c>
      <c r="B11" s="5">
        <f>COUNTIF(Orders[OrderStatus],"Cancelled")</f>
        <v>177</v>
      </c>
    </row>
    <row r="12" spans="1:3" x14ac:dyDescent="0.3">
      <c r="A12" s="6"/>
    </row>
    <row r="13" spans="1:3" x14ac:dyDescent="0.3">
      <c r="A13" s="6" t="s">
        <v>1170</v>
      </c>
      <c r="B13" s="5">
        <f>SUMIF(Orders[PaymentMode],"UPI",Orders[OrderAmount])</f>
        <v>2735537.0999999992</v>
      </c>
    </row>
    <row r="14" spans="1:3" x14ac:dyDescent="0.3">
      <c r="A14" s="6"/>
    </row>
    <row r="15" spans="1:3" x14ac:dyDescent="0.3">
      <c r="A15" s="6" t="s">
        <v>1167</v>
      </c>
      <c r="B15" s="5">
        <f>COUNTIF(Orders[Channel],"Mobile App")</f>
        <v>841</v>
      </c>
      <c r="C15" s="5">
        <f>COUNTIF(Orders[Channel],"Website")</f>
        <v>259</v>
      </c>
    </row>
    <row r="16" spans="1:3" x14ac:dyDescent="0.3">
      <c r="A16" s="6"/>
    </row>
    <row r="17" spans="1:2" x14ac:dyDescent="0.3">
      <c r="A17" s="6" t="s">
        <v>1168</v>
      </c>
      <c r="B17" s="5">
        <f>SUMIF(Orders[Category],"Electronics",Orders[OrderAmount])</f>
        <v>2558731.7799999989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FE43E-F03C-4099-ABD4-50237CE59135}">
  <dimension ref="B2:V34"/>
  <sheetViews>
    <sheetView workbookViewId="0">
      <selection activeCell="O27" sqref="O27"/>
    </sheetView>
  </sheetViews>
  <sheetFormatPr defaultRowHeight="14.4" x14ac:dyDescent="0.3"/>
  <cols>
    <col min="2" max="2" width="10.77734375" bestFit="1" customWidth="1"/>
    <col min="3" max="3" width="19.33203125" bestFit="1" customWidth="1"/>
    <col min="5" max="5" width="11.44140625" bestFit="1" customWidth="1"/>
    <col min="6" max="6" width="19.33203125" bestFit="1" customWidth="1"/>
    <col min="8" max="8" width="14.6640625" bestFit="1" customWidth="1"/>
    <col min="9" max="9" width="19.33203125" bestFit="1" customWidth="1"/>
    <col min="11" max="11" width="13.21875" bestFit="1" customWidth="1"/>
    <col min="12" max="12" width="15.44140625" bestFit="1" customWidth="1"/>
    <col min="14" max="14" width="10.77734375" bestFit="1" customWidth="1"/>
    <col min="15" max="15" width="19.33203125" bestFit="1" customWidth="1"/>
    <col min="17" max="17" width="12.5546875" bestFit="1" customWidth="1"/>
    <col min="18" max="19" width="15.44140625" bestFit="1" customWidth="1"/>
    <col min="20" max="20" width="12.5546875" bestFit="1" customWidth="1"/>
    <col min="21" max="21" width="15.44140625" bestFit="1" customWidth="1"/>
    <col min="22" max="22" width="16.6640625" bestFit="1" customWidth="1"/>
    <col min="23" max="23" width="6.21875" bestFit="1" customWidth="1"/>
    <col min="24" max="24" width="7.109375" bestFit="1" customWidth="1"/>
    <col min="25" max="25" width="7.77734375" bestFit="1" customWidth="1"/>
    <col min="26" max="26" width="5.33203125" bestFit="1" customWidth="1"/>
    <col min="27" max="27" width="7.77734375" bestFit="1" customWidth="1"/>
    <col min="28" max="28" width="9.88671875" bestFit="1" customWidth="1"/>
    <col min="29" max="29" width="10.6640625" bestFit="1" customWidth="1"/>
    <col min="30" max="30" width="7" bestFit="1" customWidth="1"/>
    <col min="31" max="31" width="8.5546875" bestFit="1" customWidth="1"/>
    <col min="32" max="32" width="5.5546875" bestFit="1" customWidth="1"/>
    <col min="33" max="33" width="5" bestFit="1" customWidth="1"/>
    <col min="34" max="34" width="7.21875" bestFit="1" customWidth="1"/>
    <col min="35" max="35" width="9.44140625" bestFit="1" customWidth="1"/>
    <col min="36" max="36" width="5.88671875" bestFit="1" customWidth="1"/>
    <col min="37" max="37" width="8.21875" bestFit="1" customWidth="1"/>
    <col min="38" max="38" width="11.77734375" bestFit="1" customWidth="1"/>
    <col min="39" max="39" width="11" bestFit="1" customWidth="1"/>
    <col min="40" max="40" width="11.109375" bestFit="1" customWidth="1"/>
    <col min="41" max="41" width="8.5546875" bestFit="1" customWidth="1"/>
    <col min="42" max="42" width="9.6640625" bestFit="1" customWidth="1"/>
    <col min="43" max="43" width="10.6640625" bestFit="1" customWidth="1"/>
    <col min="44" max="44" width="6.5546875" bestFit="1" customWidth="1"/>
    <col min="45" max="45" width="9.6640625" bestFit="1" customWidth="1"/>
    <col min="46" max="46" width="10.77734375" bestFit="1" customWidth="1"/>
  </cols>
  <sheetData>
    <row r="2" spans="2:22" x14ac:dyDescent="0.3">
      <c r="B2" t="s">
        <v>1171</v>
      </c>
      <c r="E2" t="s">
        <v>1175</v>
      </c>
      <c r="H2" t="s">
        <v>1176</v>
      </c>
      <c r="K2" t="s">
        <v>1178</v>
      </c>
      <c r="N2" t="s">
        <v>1180</v>
      </c>
      <c r="Q2" t="s">
        <v>1181</v>
      </c>
      <c r="T2" t="s">
        <v>1182</v>
      </c>
    </row>
    <row r="4" spans="2:22" x14ac:dyDescent="0.3">
      <c r="B4" s="7" t="s">
        <v>2</v>
      </c>
      <c r="C4" t="s">
        <v>1174</v>
      </c>
      <c r="E4" s="7" t="s">
        <v>4</v>
      </c>
      <c r="F4" t="s">
        <v>1174</v>
      </c>
      <c r="H4" s="7" t="s">
        <v>1161</v>
      </c>
      <c r="I4" t="s">
        <v>1174</v>
      </c>
      <c r="K4" s="7" t="s">
        <v>8</v>
      </c>
      <c r="L4" t="s">
        <v>1179</v>
      </c>
      <c r="N4" s="7" t="s">
        <v>10</v>
      </c>
      <c r="O4" t="s">
        <v>1174</v>
      </c>
      <c r="Q4" s="7" t="s">
        <v>1172</v>
      </c>
      <c r="R4" t="s">
        <v>1179</v>
      </c>
      <c r="T4" s="7" t="s">
        <v>1172</v>
      </c>
      <c r="U4" t="s">
        <v>1179</v>
      </c>
    </row>
    <row r="5" spans="2:22" x14ac:dyDescent="0.3">
      <c r="B5" t="s">
        <v>38</v>
      </c>
      <c r="C5" s="10">
        <v>10259.77</v>
      </c>
      <c r="E5" t="s">
        <v>32</v>
      </c>
      <c r="F5" s="10">
        <v>16235.61</v>
      </c>
      <c r="H5" t="s">
        <v>1177</v>
      </c>
      <c r="I5" s="10">
        <v>251203.20000000004</v>
      </c>
      <c r="K5" t="s">
        <v>16</v>
      </c>
      <c r="L5" s="10">
        <v>13</v>
      </c>
      <c r="N5" t="s">
        <v>33</v>
      </c>
      <c r="O5" s="10">
        <v>226080.38</v>
      </c>
      <c r="Q5" s="8" t="s">
        <v>17</v>
      </c>
      <c r="R5" s="10">
        <v>27</v>
      </c>
      <c r="T5" s="8" t="s">
        <v>1183</v>
      </c>
      <c r="U5" s="10">
        <v>4</v>
      </c>
    </row>
    <row r="6" spans="2:22" x14ac:dyDescent="0.3">
      <c r="B6" t="s">
        <v>25</v>
      </c>
      <c r="C6" s="10">
        <v>94279.47</v>
      </c>
      <c r="E6" t="s">
        <v>47</v>
      </c>
      <c r="F6" s="10">
        <v>58045.680000000008</v>
      </c>
      <c r="H6" t="s">
        <v>1173</v>
      </c>
      <c r="I6" s="10">
        <v>251203.20000000004</v>
      </c>
      <c r="K6" t="s">
        <v>22</v>
      </c>
      <c r="L6" s="10">
        <v>7</v>
      </c>
      <c r="N6" t="s">
        <v>18</v>
      </c>
      <c r="O6" s="10">
        <v>25122.82</v>
      </c>
      <c r="Q6" s="8" t="s">
        <v>1173</v>
      </c>
      <c r="R6" s="10">
        <v>27</v>
      </c>
      <c r="T6" s="8" t="s">
        <v>1184</v>
      </c>
      <c r="U6" s="10">
        <v>19</v>
      </c>
    </row>
    <row r="7" spans="2:22" x14ac:dyDescent="0.3">
      <c r="B7" t="s">
        <v>35</v>
      </c>
      <c r="C7" s="10">
        <v>58731.330000000009</v>
      </c>
      <c r="E7" t="s">
        <v>53</v>
      </c>
      <c r="F7" s="10">
        <v>29316.54</v>
      </c>
      <c r="K7" t="s">
        <v>55</v>
      </c>
      <c r="L7" s="10">
        <v>4</v>
      </c>
      <c r="N7" t="s">
        <v>1173</v>
      </c>
      <c r="O7" s="10">
        <v>251203.20000000001</v>
      </c>
      <c r="T7" s="8" t="s">
        <v>1185</v>
      </c>
      <c r="U7" s="10">
        <v>4</v>
      </c>
    </row>
    <row r="8" spans="2:22" x14ac:dyDescent="0.3">
      <c r="B8" t="s">
        <v>20</v>
      </c>
      <c r="C8" s="10">
        <v>78864.049999999988</v>
      </c>
      <c r="E8" t="s">
        <v>27</v>
      </c>
      <c r="F8" s="10">
        <v>41974.680000000008</v>
      </c>
      <c r="K8" t="s">
        <v>28</v>
      </c>
      <c r="L8" s="10">
        <v>3</v>
      </c>
      <c r="T8" s="8" t="s">
        <v>1173</v>
      </c>
      <c r="U8" s="10">
        <v>27</v>
      </c>
    </row>
    <row r="9" spans="2:22" x14ac:dyDescent="0.3">
      <c r="B9" t="s">
        <v>13</v>
      </c>
      <c r="C9" s="10">
        <v>9068.58</v>
      </c>
      <c r="E9" t="s">
        <v>15</v>
      </c>
      <c r="F9" s="10">
        <v>76058.53</v>
      </c>
      <c r="K9" t="s">
        <v>1173</v>
      </c>
      <c r="L9" s="10">
        <v>27</v>
      </c>
    </row>
    <row r="10" spans="2:22" x14ac:dyDescent="0.3">
      <c r="B10" t="s">
        <v>1173</v>
      </c>
      <c r="C10" s="10">
        <v>251203.19999999998</v>
      </c>
      <c r="E10" t="s">
        <v>1173</v>
      </c>
      <c r="F10" s="10">
        <v>221631.04</v>
      </c>
    </row>
    <row r="12" spans="2:22" x14ac:dyDescent="0.3">
      <c r="U12" s="8" t="s">
        <v>49</v>
      </c>
      <c r="V12">
        <v>233</v>
      </c>
    </row>
    <row r="13" spans="2:22" x14ac:dyDescent="0.3">
      <c r="R13" s="4" t="s">
        <v>1187</v>
      </c>
      <c r="U13" s="8" t="s">
        <v>23</v>
      </c>
      <c r="V13">
        <v>223</v>
      </c>
    </row>
    <row r="14" spans="2:22" x14ac:dyDescent="0.3">
      <c r="U14" s="8" t="s">
        <v>17</v>
      </c>
      <c r="V14">
        <v>220</v>
      </c>
    </row>
    <row r="15" spans="2:22" x14ac:dyDescent="0.3">
      <c r="R15" t="s">
        <v>1174</v>
      </c>
      <c r="U15" s="8" t="s">
        <v>29</v>
      </c>
      <c r="V15">
        <v>217</v>
      </c>
    </row>
    <row r="16" spans="2:22" x14ac:dyDescent="0.3">
      <c r="R16" s="10">
        <v>251203.20000000004</v>
      </c>
      <c r="U16" s="8" t="s">
        <v>40</v>
      </c>
      <c r="V16">
        <v>207</v>
      </c>
    </row>
    <row r="18" spans="15:19" x14ac:dyDescent="0.3">
      <c r="R18" t="s">
        <v>1179</v>
      </c>
    </row>
    <row r="19" spans="15:19" x14ac:dyDescent="0.3">
      <c r="R19" s="10">
        <v>27</v>
      </c>
    </row>
    <row r="21" spans="15:19" x14ac:dyDescent="0.3">
      <c r="R21" t="s">
        <v>1186</v>
      </c>
    </row>
    <row r="22" spans="15:19" x14ac:dyDescent="0.3">
      <c r="R22" s="10">
        <v>9303.822222222223</v>
      </c>
    </row>
    <row r="25" spans="15:19" x14ac:dyDescent="0.3">
      <c r="R25" s="7" t="s">
        <v>8</v>
      </c>
      <c r="S25" t="s">
        <v>1179</v>
      </c>
    </row>
    <row r="26" spans="15:19" x14ac:dyDescent="0.3">
      <c r="R26" t="s">
        <v>16</v>
      </c>
      <c r="S26" s="10">
        <v>13</v>
      </c>
    </row>
    <row r="27" spans="15:19" x14ac:dyDescent="0.3">
      <c r="O27">
        <f>GETPIVOTDATA("OrderAmount",$R$15)</f>
        <v>251203.20000000004</v>
      </c>
      <c r="R27" t="s">
        <v>1173</v>
      </c>
      <c r="S27" s="10">
        <v>13</v>
      </c>
    </row>
    <row r="29" spans="15:19" x14ac:dyDescent="0.3">
      <c r="O29">
        <f>GETPIVOTDATA("OrderID",$R$18)</f>
        <v>27</v>
      </c>
    </row>
    <row r="32" spans="15:19" x14ac:dyDescent="0.3">
      <c r="O32">
        <f>GETPIVOTDATA("OrderAmount",$R$21)</f>
        <v>9303.822222222223</v>
      </c>
    </row>
    <row r="34" spans="15:15" x14ac:dyDescent="0.3">
      <c r="O34">
        <f>GETPIVOTDATA("OrderID",'Pivot Tables'!$R$25,"OrderStatus","Delivered")</f>
        <v>13</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85BB9-AE3F-45E8-9AA2-0330B8A091B9}">
  <dimension ref="A1"/>
  <sheetViews>
    <sheetView showGridLines="0" tabSelected="1" zoomScale="80" zoomScaleNormal="80" workbookViewId="0">
      <selection activeCell="AE20" sqref="AE20"/>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Ecommerce_Raw_Data</vt:lpstr>
      <vt:lpstr>Analysis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Manan Badala</dc:creator>
  <cp:lastModifiedBy>Manan Badala</cp:lastModifiedBy>
  <dcterms:created xsi:type="dcterms:W3CDTF">2026-06-24T11:49:18Z</dcterms:created>
  <dcterms:modified xsi:type="dcterms:W3CDTF">2026-06-24T11:53:11Z</dcterms:modified>
</cp:coreProperties>
</file>